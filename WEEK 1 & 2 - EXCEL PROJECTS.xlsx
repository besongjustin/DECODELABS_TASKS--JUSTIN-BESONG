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STIN\Documents\DATA ANALYTICS\DECODELAB\PROJECT COMPLETED\"/>
    </mc:Choice>
  </mc:AlternateContent>
  <xr:revisionPtr revIDLastSave="0" documentId="13_ncr:10000001_{105272FB-A918-4D24-A409-3B61535419BD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Original Data" sheetId="3" r:id="rId1"/>
    <sheet name="CLEANED DATA" sheetId="1" r:id="rId2"/>
    <sheet name="EDA SUMMARY" sheetId="2" r:id="rId3"/>
    <sheet name="TRENDS" sheetId="4" r:id="rId4"/>
    <sheet name="OUTLIERS" sheetId="5" r:id="rId5"/>
    <sheet name="KEY OBSERVATIONS" sheetId="6" r:id="rId6"/>
  </sheets>
  <definedNames>
    <definedName name="ExternalData_1" localSheetId="0" hidden="1">'Original Data'!$A$1:$N$1201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4" l="1"/>
  <c r="M11" i="4"/>
  <c r="I18" i="4"/>
  <c r="F18" i="4"/>
  <c r="C22" i="4"/>
  <c r="C13" i="4"/>
  <c r="I7" i="4"/>
  <c r="I8" i="4"/>
  <c r="I9" i="4"/>
  <c r="I10" i="4"/>
  <c r="I11" i="4"/>
  <c r="I12" i="4"/>
  <c r="I13" i="4"/>
  <c r="I14" i="4"/>
  <c r="I15" i="4"/>
  <c r="I16" i="4"/>
  <c r="I17" i="4"/>
  <c r="I6" i="4"/>
  <c r="D7" i="5"/>
  <c r="D9" i="5" s="1"/>
  <c r="D6" i="5"/>
  <c r="D5" i="5"/>
  <c r="C21" i="4"/>
  <c r="C20" i="4"/>
  <c r="M19" i="4"/>
  <c r="C19" i="4"/>
  <c r="M18" i="4"/>
  <c r="M17" i="4"/>
  <c r="F17" i="4"/>
  <c r="M16" i="4"/>
  <c r="F16" i="4"/>
  <c r="M15" i="4"/>
  <c r="F15" i="4"/>
  <c r="F14" i="4"/>
  <c r="F13" i="4"/>
  <c r="F12" i="4"/>
  <c r="C7" i="4"/>
  <c r="F11" i="4"/>
  <c r="C11" i="4"/>
  <c r="M10" i="4"/>
  <c r="F10" i="4"/>
  <c r="C6" i="4"/>
  <c r="M9" i="4"/>
  <c r="F9" i="4"/>
  <c r="C9" i="4"/>
  <c r="M8" i="4"/>
  <c r="F8" i="4"/>
  <c r="C12" i="4"/>
  <c r="M7" i="4"/>
  <c r="F7" i="4"/>
  <c r="C10" i="4"/>
  <c r="M6" i="4"/>
  <c r="F6" i="4"/>
  <c r="C8" i="4"/>
  <c r="G24" i="2"/>
  <c r="C24" i="2"/>
  <c r="G23" i="2"/>
  <c r="C23" i="2"/>
  <c r="G22" i="2"/>
  <c r="C22" i="2"/>
  <c r="G21" i="2"/>
  <c r="C21" i="2"/>
  <c r="G20" i="2"/>
  <c r="C20" i="2"/>
  <c r="G14" i="2"/>
  <c r="C14" i="2"/>
  <c r="G13" i="2"/>
  <c r="C13" i="2"/>
  <c r="G12" i="2"/>
  <c r="C12" i="2"/>
  <c r="G11" i="2"/>
  <c r="C11" i="2"/>
  <c r="G10" i="2"/>
  <c r="C10" i="2"/>
  <c r="D1201" i="1"/>
  <c r="C1201" i="1"/>
  <c r="D1200" i="1"/>
  <c r="C1200" i="1"/>
  <c r="D1199" i="1"/>
  <c r="C1199" i="1"/>
  <c r="D1198" i="1"/>
  <c r="C1198" i="1"/>
  <c r="D1197" i="1"/>
  <c r="C1197" i="1"/>
  <c r="D1196" i="1"/>
  <c r="C1196" i="1"/>
  <c r="D1195" i="1"/>
  <c r="C1195" i="1"/>
  <c r="D1194" i="1"/>
  <c r="C1194" i="1"/>
  <c r="D1193" i="1"/>
  <c r="C1193" i="1"/>
  <c r="D1192" i="1"/>
  <c r="C1192" i="1"/>
  <c r="D1191" i="1"/>
  <c r="C1191" i="1"/>
  <c r="D1190" i="1"/>
  <c r="C1190" i="1"/>
  <c r="D1189" i="1"/>
  <c r="C1189" i="1"/>
  <c r="D1188" i="1"/>
  <c r="C1188" i="1"/>
  <c r="D1187" i="1"/>
  <c r="C1187" i="1"/>
  <c r="D1186" i="1"/>
  <c r="C1186" i="1"/>
  <c r="D1185" i="1"/>
  <c r="C1185" i="1"/>
  <c r="D1184" i="1"/>
  <c r="C1184" i="1"/>
  <c r="D1183" i="1"/>
  <c r="C1183" i="1"/>
  <c r="D1182" i="1"/>
  <c r="C1182" i="1"/>
  <c r="D1181" i="1"/>
  <c r="C1181" i="1"/>
  <c r="D1180" i="1"/>
  <c r="C1180" i="1"/>
  <c r="D1179" i="1"/>
  <c r="C1179" i="1"/>
  <c r="D1178" i="1"/>
  <c r="C1178" i="1"/>
  <c r="D1177" i="1"/>
  <c r="C1177" i="1"/>
  <c r="D1176" i="1"/>
  <c r="C1176" i="1"/>
  <c r="D1175" i="1"/>
  <c r="C1175" i="1"/>
  <c r="D1174" i="1"/>
  <c r="C1174" i="1"/>
  <c r="D1173" i="1"/>
  <c r="C1173" i="1"/>
  <c r="D1172" i="1"/>
  <c r="C1172" i="1"/>
  <c r="D1171" i="1"/>
  <c r="C1171" i="1"/>
  <c r="D1170" i="1"/>
  <c r="C1170" i="1"/>
  <c r="D1169" i="1"/>
  <c r="C1169" i="1"/>
  <c r="D1168" i="1"/>
  <c r="C1168" i="1"/>
  <c r="D1167" i="1"/>
  <c r="C1167" i="1"/>
  <c r="D1166" i="1"/>
  <c r="C1166" i="1"/>
  <c r="D1165" i="1"/>
  <c r="C1165" i="1"/>
  <c r="D1164" i="1"/>
  <c r="C1164" i="1"/>
  <c r="D1163" i="1"/>
  <c r="C1163" i="1"/>
  <c r="D1162" i="1"/>
  <c r="C1162" i="1"/>
  <c r="D1161" i="1"/>
  <c r="C1161" i="1"/>
  <c r="D1160" i="1"/>
  <c r="C1160" i="1"/>
  <c r="D1159" i="1"/>
  <c r="C1159" i="1"/>
  <c r="D1158" i="1"/>
  <c r="C1158" i="1"/>
  <c r="D1157" i="1"/>
  <c r="C1157" i="1"/>
  <c r="D1156" i="1"/>
  <c r="C1156" i="1"/>
  <c r="D1155" i="1"/>
  <c r="C1155" i="1"/>
  <c r="D1154" i="1"/>
  <c r="C1154" i="1"/>
  <c r="D1153" i="1"/>
  <c r="C1153" i="1"/>
  <c r="D1152" i="1"/>
  <c r="C1152" i="1"/>
  <c r="D1151" i="1"/>
  <c r="C1151" i="1"/>
  <c r="D1150" i="1"/>
  <c r="C1150" i="1"/>
  <c r="D1149" i="1"/>
  <c r="C1149" i="1"/>
  <c r="D1148" i="1"/>
  <c r="C1148" i="1"/>
  <c r="D1147" i="1"/>
  <c r="C1147" i="1"/>
  <c r="D1146" i="1"/>
  <c r="C1146" i="1"/>
  <c r="D1145" i="1"/>
  <c r="C1145" i="1"/>
  <c r="D1144" i="1"/>
  <c r="C1144" i="1"/>
  <c r="D1143" i="1"/>
  <c r="C1143" i="1"/>
  <c r="D1142" i="1"/>
  <c r="C1142" i="1"/>
  <c r="D1141" i="1"/>
  <c r="C1141" i="1"/>
  <c r="D1140" i="1"/>
  <c r="C1140" i="1"/>
  <c r="D1139" i="1"/>
  <c r="C1139" i="1"/>
  <c r="D1138" i="1"/>
  <c r="C1138" i="1"/>
  <c r="D1137" i="1"/>
  <c r="C1137" i="1"/>
  <c r="D1136" i="1"/>
  <c r="C1136" i="1"/>
  <c r="D1135" i="1"/>
  <c r="C1135" i="1"/>
  <c r="D1134" i="1"/>
  <c r="C1134" i="1"/>
  <c r="D1133" i="1"/>
  <c r="C1133" i="1"/>
  <c r="D1132" i="1"/>
  <c r="C1132" i="1"/>
  <c r="D1131" i="1"/>
  <c r="C1131" i="1"/>
  <c r="D1130" i="1"/>
  <c r="C1130" i="1"/>
  <c r="D1129" i="1"/>
  <c r="C1129" i="1"/>
  <c r="D1128" i="1"/>
  <c r="C1128" i="1"/>
  <c r="D1127" i="1"/>
  <c r="C1127" i="1"/>
  <c r="D1126" i="1"/>
  <c r="C1126" i="1"/>
  <c r="D1125" i="1"/>
  <c r="C1125" i="1"/>
  <c r="D1124" i="1"/>
  <c r="C1124" i="1"/>
  <c r="D1123" i="1"/>
  <c r="C1123" i="1"/>
  <c r="D1122" i="1"/>
  <c r="C1122" i="1"/>
  <c r="D1121" i="1"/>
  <c r="C1121" i="1"/>
  <c r="D1120" i="1"/>
  <c r="C1120" i="1"/>
  <c r="D1119" i="1"/>
  <c r="C1119" i="1"/>
  <c r="D1118" i="1"/>
  <c r="C1118" i="1"/>
  <c r="D1117" i="1"/>
  <c r="C1117" i="1"/>
  <c r="D1116" i="1"/>
  <c r="C1116" i="1"/>
  <c r="D1115" i="1"/>
  <c r="C1115" i="1"/>
  <c r="D1114" i="1"/>
  <c r="C1114" i="1"/>
  <c r="D1113" i="1"/>
  <c r="C1113" i="1"/>
  <c r="D1112" i="1"/>
  <c r="C1112" i="1"/>
  <c r="D1111" i="1"/>
  <c r="C1111" i="1"/>
  <c r="D1110" i="1"/>
  <c r="C1110" i="1"/>
  <c r="D1109" i="1"/>
  <c r="C1109" i="1"/>
  <c r="D1108" i="1"/>
  <c r="C1108" i="1"/>
  <c r="D1107" i="1"/>
  <c r="C1107" i="1"/>
  <c r="D1106" i="1"/>
  <c r="C1106" i="1"/>
  <c r="D1105" i="1"/>
  <c r="C1105" i="1"/>
  <c r="D1104" i="1"/>
  <c r="C1104" i="1"/>
  <c r="D1103" i="1"/>
  <c r="C1103" i="1"/>
  <c r="D1102" i="1"/>
  <c r="C1102" i="1"/>
  <c r="D1101" i="1"/>
  <c r="C1101" i="1"/>
  <c r="D1100" i="1"/>
  <c r="C1100" i="1"/>
  <c r="D1099" i="1"/>
  <c r="C1099" i="1"/>
  <c r="D1098" i="1"/>
  <c r="C1098" i="1"/>
  <c r="D1097" i="1"/>
  <c r="C1097" i="1"/>
  <c r="D1096" i="1"/>
  <c r="C1096" i="1"/>
  <c r="D1095" i="1"/>
  <c r="C1095" i="1"/>
  <c r="D1094" i="1"/>
  <c r="C1094" i="1"/>
  <c r="D1093" i="1"/>
  <c r="C1093" i="1"/>
  <c r="D1092" i="1"/>
  <c r="C1092" i="1"/>
  <c r="D1091" i="1"/>
  <c r="C1091" i="1"/>
  <c r="D1090" i="1"/>
  <c r="C1090" i="1"/>
  <c r="D1089" i="1"/>
  <c r="C1089" i="1"/>
  <c r="D1088" i="1"/>
  <c r="C1088" i="1"/>
  <c r="D1087" i="1"/>
  <c r="C1087" i="1"/>
  <c r="D1086" i="1"/>
  <c r="C1086" i="1"/>
  <c r="D1085" i="1"/>
  <c r="C1085" i="1"/>
  <c r="D1084" i="1"/>
  <c r="C1084" i="1"/>
  <c r="D1083" i="1"/>
  <c r="C1083" i="1"/>
  <c r="D1082" i="1"/>
  <c r="C1082" i="1"/>
  <c r="D1081" i="1"/>
  <c r="C1081" i="1"/>
  <c r="D1080" i="1"/>
  <c r="C1080" i="1"/>
  <c r="D1079" i="1"/>
  <c r="C1079" i="1"/>
  <c r="D1078" i="1"/>
  <c r="C1078" i="1"/>
  <c r="D1077" i="1"/>
  <c r="C1077" i="1"/>
  <c r="D1076" i="1"/>
  <c r="C1076" i="1"/>
  <c r="D1075" i="1"/>
  <c r="C1075" i="1"/>
  <c r="D1074" i="1"/>
  <c r="C1074" i="1"/>
  <c r="D1073" i="1"/>
  <c r="C1073" i="1"/>
  <c r="D1072" i="1"/>
  <c r="C1072" i="1"/>
  <c r="D1071" i="1"/>
  <c r="C1071" i="1"/>
  <c r="D1070" i="1"/>
  <c r="C1070" i="1"/>
  <c r="D1069" i="1"/>
  <c r="C1069" i="1"/>
  <c r="D1068" i="1"/>
  <c r="C1068" i="1"/>
  <c r="D1067" i="1"/>
  <c r="C1067" i="1"/>
  <c r="D1066" i="1"/>
  <c r="C1066" i="1"/>
  <c r="D1065" i="1"/>
  <c r="C1065" i="1"/>
  <c r="D1064" i="1"/>
  <c r="C1064" i="1"/>
  <c r="D1063" i="1"/>
  <c r="C1063" i="1"/>
  <c r="D1062" i="1"/>
  <c r="C1062" i="1"/>
  <c r="D1061" i="1"/>
  <c r="C1061" i="1"/>
  <c r="D1060" i="1"/>
  <c r="C1060" i="1"/>
  <c r="D1059" i="1"/>
  <c r="C1059" i="1"/>
  <c r="D1058" i="1"/>
  <c r="C1058" i="1"/>
  <c r="D1057" i="1"/>
  <c r="C1057" i="1"/>
  <c r="D1056" i="1"/>
  <c r="C1056" i="1"/>
  <c r="D1055" i="1"/>
  <c r="C1055" i="1"/>
  <c r="D1054" i="1"/>
  <c r="C1054" i="1"/>
  <c r="D1053" i="1"/>
  <c r="C1053" i="1"/>
  <c r="D1052" i="1"/>
  <c r="C1052" i="1"/>
  <c r="D1051" i="1"/>
  <c r="C1051" i="1"/>
  <c r="D1050" i="1"/>
  <c r="C1050" i="1"/>
  <c r="D1049" i="1"/>
  <c r="C1049" i="1"/>
  <c r="D1048" i="1"/>
  <c r="C1048" i="1"/>
  <c r="D1047" i="1"/>
  <c r="C1047" i="1"/>
  <c r="D1046" i="1"/>
  <c r="C1046" i="1"/>
  <c r="D1045" i="1"/>
  <c r="C1045" i="1"/>
  <c r="D1044" i="1"/>
  <c r="C1044" i="1"/>
  <c r="D1043" i="1"/>
  <c r="C1043" i="1"/>
  <c r="D1042" i="1"/>
  <c r="C1042" i="1"/>
  <c r="D1041" i="1"/>
  <c r="C1041" i="1"/>
  <c r="D1040" i="1"/>
  <c r="C1040" i="1"/>
  <c r="D1039" i="1"/>
  <c r="C1039" i="1"/>
  <c r="D1038" i="1"/>
  <c r="C1038" i="1"/>
  <c r="D1037" i="1"/>
  <c r="C1037" i="1"/>
  <c r="D1036" i="1"/>
  <c r="C1036" i="1"/>
  <c r="D1035" i="1"/>
  <c r="C1035" i="1"/>
  <c r="D1034" i="1"/>
  <c r="C1034" i="1"/>
  <c r="D1033" i="1"/>
  <c r="C1033" i="1"/>
  <c r="D1032" i="1"/>
  <c r="C1032" i="1"/>
  <c r="D1031" i="1"/>
  <c r="C1031" i="1"/>
  <c r="D1030" i="1"/>
  <c r="C1030" i="1"/>
  <c r="D1029" i="1"/>
  <c r="C1029" i="1"/>
  <c r="D1028" i="1"/>
  <c r="C1028" i="1"/>
  <c r="D1027" i="1"/>
  <c r="C1027" i="1"/>
  <c r="D1026" i="1"/>
  <c r="C1026" i="1"/>
  <c r="D1025" i="1"/>
  <c r="C1025" i="1"/>
  <c r="D1024" i="1"/>
  <c r="C1024" i="1"/>
  <c r="D1023" i="1"/>
  <c r="C1023" i="1"/>
  <c r="D1022" i="1"/>
  <c r="C1022" i="1"/>
  <c r="D1021" i="1"/>
  <c r="C1021" i="1"/>
  <c r="D1020" i="1"/>
  <c r="C1020" i="1"/>
  <c r="D1019" i="1"/>
  <c r="C1019" i="1"/>
  <c r="D1018" i="1"/>
  <c r="C1018" i="1"/>
  <c r="D1017" i="1"/>
  <c r="C1017" i="1"/>
  <c r="D1016" i="1"/>
  <c r="C1016" i="1"/>
  <c r="D1015" i="1"/>
  <c r="C1015" i="1"/>
  <c r="D1014" i="1"/>
  <c r="C1014" i="1"/>
  <c r="D1013" i="1"/>
  <c r="C1013" i="1"/>
  <c r="D1012" i="1"/>
  <c r="C1012" i="1"/>
  <c r="D1011" i="1"/>
  <c r="C1011" i="1"/>
  <c r="D1010" i="1"/>
  <c r="C1010" i="1"/>
  <c r="D1009" i="1"/>
  <c r="C1009" i="1"/>
  <c r="D1008" i="1"/>
  <c r="C1008" i="1"/>
  <c r="D1007" i="1"/>
  <c r="C1007" i="1"/>
  <c r="D1006" i="1"/>
  <c r="C1006" i="1"/>
  <c r="D1005" i="1"/>
  <c r="C1005" i="1"/>
  <c r="D1004" i="1"/>
  <c r="C1004" i="1"/>
  <c r="D1003" i="1"/>
  <c r="C1003" i="1"/>
  <c r="D1002" i="1"/>
  <c r="C1002" i="1"/>
  <c r="D1001" i="1"/>
  <c r="C1001" i="1"/>
  <c r="D1000" i="1"/>
  <c r="C1000" i="1"/>
  <c r="D999" i="1"/>
  <c r="C999" i="1"/>
  <c r="D998" i="1"/>
  <c r="C998" i="1"/>
  <c r="D997" i="1"/>
  <c r="C997" i="1"/>
  <c r="D996" i="1"/>
  <c r="C996" i="1"/>
  <c r="D995" i="1"/>
  <c r="C995" i="1"/>
  <c r="D994" i="1"/>
  <c r="C994" i="1"/>
  <c r="D993" i="1"/>
  <c r="C993" i="1"/>
  <c r="D992" i="1"/>
  <c r="C992" i="1"/>
  <c r="D991" i="1"/>
  <c r="C991" i="1"/>
  <c r="D990" i="1"/>
  <c r="C990" i="1"/>
  <c r="D989" i="1"/>
  <c r="C989" i="1"/>
  <c r="D988" i="1"/>
  <c r="C988" i="1"/>
  <c r="D987" i="1"/>
  <c r="C987" i="1"/>
  <c r="D986" i="1"/>
  <c r="C986" i="1"/>
  <c r="D985" i="1"/>
  <c r="C985" i="1"/>
  <c r="D984" i="1"/>
  <c r="C984" i="1"/>
  <c r="D983" i="1"/>
  <c r="C983" i="1"/>
  <c r="D982" i="1"/>
  <c r="C982" i="1"/>
  <c r="D981" i="1"/>
  <c r="C981" i="1"/>
  <c r="D980" i="1"/>
  <c r="C980" i="1"/>
  <c r="D979" i="1"/>
  <c r="C979" i="1"/>
  <c r="D978" i="1"/>
  <c r="C978" i="1"/>
  <c r="D977" i="1"/>
  <c r="C977" i="1"/>
  <c r="D976" i="1"/>
  <c r="C976" i="1"/>
  <c r="D975" i="1"/>
  <c r="C975" i="1"/>
  <c r="D974" i="1"/>
  <c r="C974" i="1"/>
  <c r="D973" i="1"/>
  <c r="C973" i="1"/>
  <c r="D972" i="1"/>
  <c r="C972" i="1"/>
  <c r="D971" i="1"/>
  <c r="C971" i="1"/>
  <c r="D970" i="1"/>
  <c r="C970" i="1"/>
  <c r="D969" i="1"/>
  <c r="C969" i="1"/>
  <c r="D968" i="1"/>
  <c r="C968" i="1"/>
  <c r="D967" i="1"/>
  <c r="C967" i="1"/>
  <c r="D966" i="1"/>
  <c r="C966" i="1"/>
  <c r="D965" i="1"/>
  <c r="C965" i="1"/>
  <c r="D964" i="1"/>
  <c r="C964" i="1"/>
  <c r="D963" i="1"/>
  <c r="C963" i="1"/>
  <c r="D962" i="1"/>
  <c r="C962" i="1"/>
  <c r="D961" i="1"/>
  <c r="C961" i="1"/>
  <c r="D960" i="1"/>
  <c r="C960" i="1"/>
  <c r="D959" i="1"/>
  <c r="C959" i="1"/>
  <c r="D958" i="1"/>
  <c r="C958" i="1"/>
  <c r="D957" i="1"/>
  <c r="C957" i="1"/>
  <c r="D956" i="1"/>
  <c r="C956" i="1"/>
  <c r="D955" i="1"/>
  <c r="C955" i="1"/>
  <c r="D954" i="1"/>
  <c r="C954" i="1"/>
  <c r="D953" i="1"/>
  <c r="C953" i="1"/>
  <c r="D952" i="1"/>
  <c r="C952" i="1"/>
  <c r="D951" i="1"/>
  <c r="C951" i="1"/>
  <c r="D950" i="1"/>
  <c r="C950" i="1"/>
  <c r="D949" i="1"/>
  <c r="C949" i="1"/>
  <c r="D948" i="1"/>
  <c r="C948" i="1"/>
  <c r="D947" i="1"/>
  <c r="C947" i="1"/>
  <c r="D946" i="1"/>
  <c r="C946" i="1"/>
  <c r="D945" i="1"/>
  <c r="C945" i="1"/>
  <c r="D944" i="1"/>
  <c r="C944" i="1"/>
  <c r="D943" i="1"/>
  <c r="C943" i="1"/>
  <c r="D942" i="1"/>
  <c r="C942" i="1"/>
  <c r="D941" i="1"/>
  <c r="C941" i="1"/>
  <c r="D940" i="1"/>
  <c r="C940" i="1"/>
  <c r="D939" i="1"/>
  <c r="C939" i="1"/>
  <c r="D938" i="1"/>
  <c r="C938" i="1"/>
  <c r="D937" i="1"/>
  <c r="C937" i="1"/>
  <c r="D936" i="1"/>
  <c r="C936" i="1"/>
  <c r="D935" i="1"/>
  <c r="C935" i="1"/>
  <c r="D934" i="1"/>
  <c r="C934" i="1"/>
  <c r="D933" i="1"/>
  <c r="C933" i="1"/>
  <c r="D932" i="1"/>
  <c r="C932" i="1"/>
  <c r="D931" i="1"/>
  <c r="C931" i="1"/>
  <c r="D930" i="1"/>
  <c r="C930" i="1"/>
  <c r="D929" i="1"/>
  <c r="C929" i="1"/>
  <c r="D928" i="1"/>
  <c r="C928" i="1"/>
  <c r="D927" i="1"/>
  <c r="C927" i="1"/>
  <c r="D926" i="1"/>
  <c r="C926" i="1"/>
  <c r="D925" i="1"/>
  <c r="C925" i="1"/>
  <c r="D924" i="1"/>
  <c r="C924" i="1"/>
  <c r="D923" i="1"/>
  <c r="C923" i="1"/>
  <c r="D922" i="1"/>
  <c r="C922" i="1"/>
  <c r="D921" i="1"/>
  <c r="C921" i="1"/>
  <c r="D920" i="1"/>
  <c r="C920" i="1"/>
  <c r="D919" i="1"/>
  <c r="C919" i="1"/>
  <c r="D918" i="1"/>
  <c r="C918" i="1"/>
  <c r="D917" i="1"/>
  <c r="C917" i="1"/>
  <c r="D916" i="1"/>
  <c r="C916" i="1"/>
  <c r="D915" i="1"/>
  <c r="C915" i="1"/>
  <c r="D914" i="1"/>
  <c r="C914" i="1"/>
  <c r="D913" i="1"/>
  <c r="C913" i="1"/>
  <c r="D912" i="1"/>
  <c r="C912" i="1"/>
  <c r="D911" i="1"/>
  <c r="C911" i="1"/>
  <c r="D910" i="1"/>
  <c r="C910" i="1"/>
  <c r="D909" i="1"/>
  <c r="C909" i="1"/>
  <c r="D908" i="1"/>
  <c r="C908" i="1"/>
  <c r="D907" i="1"/>
  <c r="C907" i="1"/>
  <c r="D906" i="1"/>
  <c r="C906" i="1"/>
  <c r="D905" i="1"/>
  <c r="C905" i="1"/>
  <c r="D904" i="1"/>
  <c r="C904" i="1"/>
  <c r="D903" i="1"/>
  <c r="C903" i="1"/>
  <c r="D902" i="1"/>
  <c r="C902" i="1"/>
  <c r="D901" i="1"/>
  <c r="C901" i="1"/>
  <c r="D900" i="1"/>
  <c r="C900" i="1"/>
  <c r="D899" i="1"/>
  <c r="C899" i="1"/>
  <c r="D898" i="1"/>
  <c r="C898" i="1"/>
  <c r="D897" i="1"/>
  <c r="C897" i="1"/>
  <c r="D896" i="1"/>
  <c r="C896" i="1"/>
  <c r="D895" i="1"/>
  <c r="C895" i="1"/>
  <c r="D894" i="1"/>
  <c r="C894" i="1"/>
  <c r="D893" i="1"/>
  <c r="C893" i="1"/>
  <c r="D892" i="1"/>
  <c r="C892" i="1"/>
  <c r="D891" i="1"/>
  <c r="C891" i="1"/>
  <c r="D890" i="1"/>
  <c r="C890" i="1"/>
  <c r="D889" i="1"/>
  <c r="C889" i="1"/>
  <c r="D888" i="1"/>
  <c r="C888" i="1"/>
  <c r="D887" i="1"/>
  <c r="C887" i="1"/>
  <c r="D886" i="1"/>
  <c r="C886" i="1"/>
  <c r="D885" i="1"/>
  <c r="C885" i="1"/>
  <c r="D884" i="1"/>
  <c r="C884" i="1"/>
  <c r="D883" i="1"/>
  <c r="C883" i="1"/>
  <c r="D882" i="1"/>
  <c r="C882" i="1"/>
  <c r="D881" i="1"/>
  <c r="C881" i="1"/>
  <c r="D880" i="1"/>
  <c r="C880" i="1"/>
  <c r="D879" i="1"/>
  <c r="C879" i="1"/>
  <c r="D878" i="1"/>
  <c r="C878" i="1"/>
  <c r="D877" i="1"/>
  <c r="C877" i="1"/>
  <c r="D876" i="1"/>
  <c r="C876" i="1"/>
  <c r="D875" i="1"/>
  <c r="C875" i="1"/>
  <c r="D874" i="1"/>
  <c r="C874" i="1"/>
  <c r="D873" i="1"/>
  <c r="C873" i="1"/>
  <c r="D872" i="1"/>
  <c r="C872" i="1"/>
  <c r="D871" i="1"/>
  <c r="C871" i="1"/>
  <c r="D870" i="1"/>
  <c r="C870" i="1"/>
  <c r="D869" i="1"/>
  <c r="C869" i="1"/>
  <c r="D868" i="1"/>
  <c r="C868" i="1"/>
  <c r="D867" i="1"/>
  <c r="C867" i="1"/>
  <c r="D866" i="1"/>
  <c r="C866" i="1"/>
  <c r="D865" i="1"/>
  <c r="C865" i="1"/>
  <c r="D864" i="1"/>
  <c r="C864" i="1"/>
  <c r="D863" i="1"/>
  <c r="C863" i="1"/>
  <c r="D862" i="1"/>
  <c r="C862" i="1"/>
  <c r="D861" i="1"/>
  <c r="C861" i="1"/>
  <c r="D860" i="1"/>
  <c r="C860" i="1"/>
  <c r="D859" i="1"/>
  <c r="C859" i="1"/>
  <c r="D858" i="1"/>
  <c r="C858" i="1"/>
  <c r="D857" i="1"/>
  <c r="C857" i="1"/>
  <c r="D856" i="1"/>
  <c r="C856" i="1"/>
  <c r="D855" i="1"/>
  <c r="C855" i="1"/>
  <c r="D854" i="1"/>
  <c r="C854" i="1"/>
  <c r="D853" i="1"/>
  <c r="C853" i="1"/>
  <c r="D852" i="1"/>
  <c r="C852" i="1"/>
  <c r="D851" i="1"/>
  <c r="C851" i="1"/>
  <c r="D850" i="1"/>
  <c r="C850" i="1"/>
  <c r="D849" i="1"/>
  <c r="C849" i="1"/>
  <c r="D848" i="1"/>
  <c r="C848" i="1"/>
  <c r="D847" i="1"/>
  <c r="C847" i="1"/>
  <c r="D846" i="1"/>
  <c r="C846" i="1"/>
  <c r="D845" i="1"/>
  <c r="C845" i="1"/>
  <c r="D844" i="1"/>
  <c r="C844" i="1"/>
  <c r="D843" i="1"/>
  <c r="C843" i="1"/>
  <c r="D842" i="1"/>
  <c r="C842" i="1"/>
  <c r="D841" i="1"/>
  <c r="C841" i="1"/>
  <c r="D840" i="1"/>
  <c r="C840" i="1"/>
  <c r="D839" i="1"/>
  <c r="C839" i="1"/>
  <c r="D838" i="1"/>
  <c r="C838" i="1"/>
  <c r="D837" i="1"/>
  <c r="C837" i="1"/>
  <c r="D836" i="1"/>
  <c r="C836" i="1"/>
  <c r="D835" i="1"/>
  <c r="C835" i="1"/>
  <c r="D834" i="1"/>
  <c r="C834" i="1"/>
  <c r="D833" i="1"/>
  <c r="C833" i="1"/>
  <c r="D832" i="1"/>
  <c r="C832" i="1"/>
  <c r="D831" i="1"/>
  <c r="C831" i="1"/>
  <c r="D830" i="1"/>
  <c r="C830" i="1"/>
  <c r="D829" i="1"/>
  <c r="C829" i="1"/>
  <c r="D828" i="1"/>
  <c r="C828" i="1"/>
  <c r="D827" i="1"/>
  <c r="C827" i="1"/>
  <c r="D826" i="1"/>
  <c r="C826" i="1"/>
  <c r="D825" i="1"/>
  <c r="C825" i="1"/>
  <c r="D824" i="1"/>
  <c r="C824" i="1"/>
  <c r="D823" i="1"/>
  <c r="C823" i="1"/>
  <c r="D822" i="1"/>
  <c r="C822" i="1"/>
  <c r="D821" i="1"/>
  <c r="C821" i="1"/>
  <c r="D820" i="1"/>
  <c r="C820" i="1"/>
  <c r="D819" i="1"/>
  <c r="C819" i="1"/>
  <c r="D818" i="1"/>
  <c r="C818" i="1"/>
  <c r="D817" i="1"/>
  <c r="C817" i="1"/>
  <c r="D816" i="1"/>
  <c r="C816" i="1"/>
  <c r="D815" i="1"/>
  <c r="C815" i="1"/>
  <c r="D814" i="1"/>
  <c r="C814" i="1"/>
  <c r="D813" i="1"/>
  <c r="C813" i="1"/>
  <c r="D812" i="1"/>
  <c r="C812" i="1"/>
  <c r="D811" i="1"/>
  <c r="C811" i="1"/>
  <c r="D810" i="1"/>
  <c r="C810" i="1"/>
  <c r="D809" i="1"/>
  <c r="C809" i="1"/>
  <c r="D808" i="1"/>
  <c r="C808" i="1"/>
  <c r="D807" i="1"/>
  <c r="C807" i="1"/>
  <c r="D806" i="1"/>
  <c r="C806" i="1"/>
  <c r="D805" i="1"/>
  <c r="C805" i="1"/>
  <c r="D804" i="1"/>
  <c r="C804" i="1"/>
  <c r="D803" i="1"/>
  <c r="C803" i="1"/>
  <c r="D802" i="1"/>
  <c r="C802" i="1"/>
  <c r="D801" i="1"/>
  <c r="C801" i="1"/>
  <c r="D800" i="1"/>
  <c r="C800" i="1"/>
  <c r="D799" i="1"/>
  <c r="C799" i="1"/>
  <c r="D798" i="1"/>
  <c r="C798" i="1"/>
  <c r="D797" i="1"/>
  <c r="C797" i="1"/>
  <c r="D796" i="1"/>
  <c r="C796" i="1"/>
  <c r="D795" i="1"/>
  <c r="C795" i="1"/>
  <c r="D794" i="1"/>
  <c r="C794" i="1"/>
  <c r="D793" i="1"/>
  <c r="C793" i="1"/>
  <c r="D792" i="1"/>
  <c r="C792" i="1"/>
  <c r="D791" i="1"/>
  <c r="C791" i="1"/>
  <c r="D790" i="1"/>
  <c r="C790" i="1"/>
  <c r="D789" i="1"/>
  <c r="C789" i="1"/>
  <c r="D788" i="1"/>
  <c r="C788" i="1"/>
  <c r="D787" i="1"/>
  <c r="C787" i="1"/>
  <c r="D786" i="1"/>
  <c r="C786" i="1"/>
  <c r="D785" i="1"/>
  <c r="C785" i="1"/>
  <c r="D784" i="1"/>
  <c r="C784" i="1"/>
  <c r="D783" i="1"/>
  <c r="C783" i="1"/>
  <c r="D782" i="1"/>
  <c r="C782" i="1"/>
  <c r="D781" i="1"/>
  <c r="C781" i="1"/>
  <c r="D780" i="1"/>
  <c r="C780" i="1"/>
  <c r="D779" i="1"/>
  <c r="C779" i="1"/>
  <c r="D778" i="1"/>
  <c r="C778" i="1"/>
  <c r="D777" i="1"/>
  <c r="C777" i="1"/>
  <c r="D776" i="1"/>
  <c r="C776" i="1"/>
  <c r="D775" i="1"/>
  <c r="C775" i="1"/>
  <c r="D774" i="1"/>
  <c r="C774" i="1"/>
  <c r="D773" i="1"/>
  <c r="C773" i="1"/>
  <c r="D772" i="1"/>
  <c r="C772" i="1"/>
  <c r="D771" i="1"/>
  <c r="C771" i="1"/>
  <c r="D770" i="1"/>
  <c r="C770" i="1"/>
  <c r="D769" i="1"/>
  <c r="C769" i="1"/>
  <c r="D768" i="1"/>
  <c r="C768" i="1"/>
  <c r="D767" i="1"/>
  <c r="C767" i="1"/>
  <c r="D766" i="1"/>
  <c r="C766" i="1"/>
  <c r="D765" i="1"/>
  <c r="C765" i="1"/>
  <c r="D764" i="1"/>
  <c r="C764" i="1"/>
  <c r="D763" i="1"/>
  <c r="C763" i="1"/>
  <c r="D762" i="1"/>
  <c r="C762" i="1"/>
  <c r="D761" i="1"/>
  <c r="C761" i="1"/>
  <c r="D760" i="1"/>
  <c r="C760" i="1"/>
  <c r="D759" i="1"/>
  <c r="C759" i="1"/>
  <c r="D758" i="1"/>
  <c r="C758" i="1"/>
  <c r="D757" i="1"/>
  <c r="C757" i="1"/>
  <c r="D756" i="1"/>
  <c r="C756" i="1"/>
  <c r="D755" i="1"/>
  <c r="C755" i="1"/>
  <c r="D754" i="1"/>
  <c r="C754" i="1"/>
  <c r="D753" i="1"/>
  <c r="C753" i="1"/>
  <c r="D752" i="1"/>
  <c r="C752" i="1"/>
  <c r="D751" i="1"/>
  <c r="C751" i="1"/>
  <c r="D750" i="1"/>
  <c r="C750" i="1"/>
  <c r="D749" i="1"/>
  <c r="C749" i="1"/>
  <c r="D748" i="1"/>
  <c r="C748" i="1"/>
  <c r="D747" i="1"/>
  <c r="C747" i="1"/>
  <c r="D746" i="1"/>
  <c r="C746" i="1"/>
  <c r="D745" i="1"/>
  <c r="C745" i="1"/>
  <c r="D744" i="1"/>
  <c r="C744" i="1"/>
  <c r="D743" i="1"/>
  <c r="C743" i="1"/>
  <c r="D742" i="1"/>
  <c r="C742" i="1"/>
  <c r="D741" i="1"/>
  <c r="C741" i="1"/>
  <c r="D740" i="1"/>
  <c r="C740" i="1"/>
  <c r="D739" i="1"/>
  <c r="C739" i="1"/>
  <c r="D738" i="1"/>
  <c r="C738" i="1"/>
  <c r="D737" i="1"/>
  <c r="C737" i="1"/>
  <c r="D736" i="1"/>
  <c r="C736" i="1"/>
  <c r="D735" i="1"/>
  <c r="C735" i="1"/>
  <c r="D734" i="1"/>
  <c r="C734" i="1"/>
  <c r="D733" i="1"/>
  <c r="C733" i="1"/>
  <c r="D732" i="1"/>
  <c r="C732" i="1"/>
  <c r="D731" i="1"/>
  <c r="C731" i="1"/>
  <c r="D730" i="1"/>
  <c r="C730" i="1"/>
  <c r="D729" i="1"/>
  <c r="C729" i="1"/>
  <c r="D728" i="1"/>
  <c r="C728" i="1"/>
  <c r="D727" i="1"/>
  <c r="C727" i="1"/>
  <c r="D726" i="1"/>
  <c r="C726" i="1"/>
  <c r="D725" i="1"/>
  <c r="C725" i="1"/>
  <c r="D724" i="1"/>
  <c r="C724" i="1"/>
  <c r="D723" i="1"/>
  <c r="C723" i="1"/>
  <c r="D722" i="1"/>
  <c r="C722" i="1"/>
  <c r="D721" i="1"/>
  <c r="C721" i="1"/>
  <c r="D720" i="1"/>
  <c r="C720" i="1"/>
  <c r="D719" i="1"/>
  <c r="C719" i="1"/>
  <c r="D718" i="1"/>
  <c r="C718" i="1"/>
  <c r="D717" i="1"/>
  <c r="C717" i="1"/>
  <c r="D716" i="1"/>
  <c r="C716" i="1"/>
  <c r="D715" i="1"/>
  <c r="C715" i="1"/>
  <c r="D714" i="1"/>
  <c r="C714" i="1"/>
  <c r="D713" i="1"/>
  <c r="C713" i="1"/>
  <c r="D712" i="1"/>
  <c r="C712" i="1"/>
  <c r="D711" i="1"/>
  <c r="C711" i="1"/>
  <c r="D710" i="1"/>
  <c r="C710" i="1"/>
  <c r="D709" i="1"/>
  <c r="C709" i="1"/>
  <c r="D708" i="1"/>
  <c r="C708" i="1"/>
  <c r="D707" i="1"/>
  <c r="C707" i="1"/>
  <c r="D706" i="1"/>
  <c r="C706" i="1"/>
  <c r="D705" i="1"/>
  <c r="C705" i="1"/>
  <c r="D704" i="1"/>
  <c r="C704" i="1"/>
  <c r="D703" i="1"/>
  <c r="C703" i="1"/>
  <c r="D702" i="1"/>
  <c r="C702" i="1"/>
  <c r="D701" i="1"/>
  <c r="C701" i="1"/>
  <c r="D700" i="1"/>
  <c r="C700" i="1"/>
  <c r="D699" i="1"/>
  <c r="C699" i="1"/>
  <c r="D698" i="1"/>
  <c r="C698" i="1"/>
  <c r="D697" i="1"/>
  <c r="C697" i="1"/>
  <c r="D696" i="1"/>
  <c r="C696" i="1"/>
  <c r="D695" i="1"/>
  <c r="C695" i="1"/>
  <c r="D694" i="1"/>
  <c r="C694" i="1"/>
  <c r="D693" i="1"/>
  <c r="C693" i="1"/>
  <c r="D692" i="1"/>
  <c r="C692" i="1"/>
  <c r="D691" i="1"/>
  <c r="C691" i="1"/>
  <c r="D690" i="1"/>
  <c r="C690" i="1"/>
  <c r="D689" i="1"/>
  <c r="C689" i="1"/>
  <c r="D688" i="1"/>
  <c r="C688" i="1"/>
  <c r="D687" i="1"/>
  <c r="C687" i="1"/>
  <c r="D686" i="1"/>
  <c r="C686" i="1"/>
  <c r="D685" i="1"/>
  <c r="C685" i="1"/>
  <c r="D684" i="1"/>
  <c r="C684" i="1"/>
  <c r="D683" i="1"/>
  <c r="C683" i="1"/>
  <c r="D682" i="1"/>
  <c r="C682" i="1"/>
  <c r="D681" i="1"/>
  <c r="C681" i="1"/>
  <c r="D680" i="1"/>
  <c r="C680" i="1"/>
  <c r="D679" i="1"/>
  <c r="C679" i="1"/>
  <c r="D678" i="1"/>
  <c r="C678" i="1"/>
  <c r="D677" i="1"/>
  <c r="C677" i="1"/>
  <c r="D676" i="1"/>
  <c r="C676" i="1"/>
  <c r="D675" i="1"/>
  <c r="C675" i="1"/>
  <c r="D674" i="1"/>
  <c r="C674" i="1"/>
  <c r="D673" i="1"/>
  <c r="C673" i="1"/>
  <c r="D672" i="1"/>
  <c r="C672" i="1"/>
  <c r="D671" i="1"/>
  <c r="C671" i="1"/>
  <c r="D670" i="1"/>
  <c r="C670" i="1"/>
  <c r="D669" i="1"/>
  <c r="C669" i="1"/>
  <c r="D668" i="1"/>
  <c r="C668" i="1"/>
  <c r="D667" i="1"/>
  <c r="C667" i="1"/>
  <c r="D666" i="1"/>
  <c r="C666" i="1"/>
  <c r="D665" i="1"/>
  <c r="C665" i="1"/>
  <c r="D664" i="1"/>
  <c r="C664" i="1"/>
  <c r="D663" i="1"/>
  <c r="C663" i="1"/>
  <c r="D662" i="1"/>
  <c r="C662" i="1"/>
  <c r="D661" i="1"/>
  <c r="C661" i="1"/>
  <c r="D660" i="1"/>
  <c r="C660" i="1"/>
  <c r="D659" i="1"/>
  <c r="C659" i="1"/>
  <c r="D658" i="1"/>
  <c r="C658" i="1"/>
  <c r="D657" i="1"/>
  <c r="C657" i="1"/>
  <c r="D656" i="1"/>
  <c r="C656" i="1"/>
  <c r="D655" i="1"/>
  <c r="C655" i="1"/>
  <c r="D654" i="1"/>
  <c r="C654" i="1"/>
  <c r="D653" i="1"/>
  <c r="C653" i="1"/>
  <c r="D652" i="1"/>
  <c r="C652" i="1"/>
  <c r="D651" i="1"/>
  <c r="C651" i="1"/>
  <c r="D650" i="1"/>
  <c r="C650" i="1"/>
  <c r="D649" i="1"/>
  <c r="C649" i="1"/>
  <c r="D648" i="1"/>
  <c r="C648" i="1"/>
  <c r="D647" i="1"/>
  <c r="C647" i="1"/>
  <c r="D646" i="1"/>
  <c r="C646" i="1"/>
  <c r="D645" i="1"/>
  <c r="C645" i="1"/>
  <c r="D644" i="1"/>
  <c r="C644" i="1"/>
  <c r="D643" i="1"/>
  <c r="C643" i="1"/>
  <c r="D642" i="1"/>
  <c r="C642" i="1"/>
  <c r="D641" i="1"/>
  <c r="C641" i="1"/>
  <c r="D640" i="1"/>
  <c r="C640" i="1"/>
  <c r="D639" i="1"/>
  <c r="C639" i="1"/>
  <c r="D638" i="1"/>
  <c r="C638" i="1"/>
  <c r="D637" i="1"/>
  <c r="C637" i="1"/>
  <c r="D636" i="1"/>
  <c r="C636" i="1"/>
  <c r="D635" i="1"/>
  <c r="C635" i="1"/>
  <c r="D634" i="1"/>
  <c r="C634" i="1"/>
  <c r="D633" i="1"/>
  <c r="C633" i="1"/>
  <c r="D632" i="1"/>
  <c r="C632" i="1"/>
  <c r="D631" i="1"/>
  <c r="C631" i="1"/>
  <c r="D630" i="1"/>
  <c r="C630" i="1"/>
  <c r="D629" i="1"/>
  <c r="C629" i="1"/>
  <c r="D628" i="1"/>
  <c r="C628" i="1"/>
  <c r="D627" i="1"/>
  <c r="C627" i="1"/>
  <c r="D626" i="1"/>
  <c r="C626" i="1"/>
  <c r="D625" i="1"/>
  <c r="C625" i="1"/>
  <c r="D624" i="1"/>
  <c r="C624" i="1"/>
  <c r="D623" i="1"/>
  <c r="C623" i="1"/>
  <c r="D622" i="1"/>
  <c r="C622" i="1"/>
  <c r="D621" i="1"/>
  <c r="C621" i="1"/>
  <c r="D620" i="1"/>
  <c r="C620" i="1"/>
  <c r="D619" i="1"/>
  <c r="C619" i="1"/>
  <c r="D618" i="1"/>
  <c r="C618" i="1"/>
  <c r="D617" i="1"/>
  <c r="C617" i="1"/>
  <c r="D616" i="1"/>
  <c r="C616" i="1"/>
  <c r="D615" i="1"/>
  <c r="C615" i="1"/>
  <c r="D614" i="1"/>
  <c r="C614" i="1"/>
  <c r="D613" i="1"/>
  <c r="C613" i="1"/>
  <c r="D612" i="1"/>
  <c r="C612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00" i="1"/>
  <c r="C600" i="1"/>
  <c r="D599" i="1"/>
  <c r="C599" i="1"/>
  <c r="D598" i="1"/>
  <c r="C598" i="1"/>
  <c r="D597" i="1"/>
  <c r="C597" i="1"/>
  <c r="D596" i="1"/>
  <c r="C596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D576" i="1"/>
  <c r="C576" i="1"/>
  <c r="D575" i="1"/>
  <c r="C575" i="1"/>
  <c r="D574" i="1"/>
  <c r="C574" i="1"/>
  <c r="D573" i="1"/>
  <c r="C573" i="1"/>
  <c r="D572" i="1"/>
  <c r="C572" i="1"/>
  <c r="D571" i="1"/>
  <c r="C571" i="1"/>
  <c r="D570" i="1"/>
  <c r="C570" i="1"/>
  <c r="D569" i="1"/>
  <c r="C569" i="1"/>
  <c r="D568" i="1"/>
  <c r="C568" i="1"/>
  <c r="D567" i="1"/>
  <c r="C567" i="1"/>
  <c r="D566" i="1"/>
  <c r="C566" i="1"/>
  <c r="D565" i="1"/>
  <c r="C565" i="1"/>
  <c r="D564" i="1"/>
  <c r="C564" i="1"/>
  <c r="D563" i="1"/>
  <c r="C563" i="1"/>
  <c r="D562" i="1"/>
  <c r="C562" i="1"/>
  <c r="D561" i="1"/>
  <c r="C561" i="1"/>
  <c r="D560" i="1"/>
  <c r="C560" i="1"/>
  <c r="D559" i="1"/>
  <c r="C559" i="1"/>
  <c r="D558" i="1"/>
  <c r="C558" i="1"/>
  <c r="D557" i="1"/>
  <c r="C557" i="1"/>
  <c r="D556" i="1"/>
  <c r="C556" i="1"/>
  <c r="D555" i="1"/>
  <c r="C555" i="1"/>
  <c r="D554" i="1"/>
  <c r="C554" i="1"/>
  <c r="D553" i="1"/>
  <c r="C553" i="1"/>
  <c r="D552" i="1"/>
  <c r="C552" i="1"/>
  <c r="D551" i="1"/>
  <c r="C551" i="1"/>
  <c r="D550" i="1"/>
  <c r="C550" i="1"/>
  <c r="D549" i="1"/>
  <c r="C549" i="1"/>
  <c r="D548" i="1"/>
  <c r="C548" i="1"/>
  <c r="D547" i="1"/>
  <c r="C547" i="1"/>
  <c r="D546" i="1"/>
  <c r="C546" i="1"/>
  <c r="D545" i="1"/>
  <c r="C545" i="1"/>
  <c r="D544" i="1"/>
  <c r="C544" i="1"/>
  <c r="D543" i="1"/>
  <c r="C543" i="1"/>
  <c r="D542" i="1"/>
  <c r="C542" i="1"/>
  <c r="D541" i="1"/>
  <c r="C541" i="1"/>
  <c r="D540" i="1"/>
  <c r="C540" i="1"/>
  <c r="D539" i="1"/>
  <c r="C539" i="1"/>
  <c r="D538" i="1"/>
  <c r="C538" i="1"/>
  <c r="D537" i="1"/>
  <c r="C537" i="1"/>
  <c r="D536" i="1"/>
  <c r="C536" i="1"/>
  <c r="D535" i="1"/>
  <c r="C535" i="1"/>
  <c r="D534" i="1"/>
  <c r="C534" i="1"/>
  <c r="D533" i="1"/>
  <c r="C533" i="1"/>
  <c r="D532" i="1"/>
  <c r="C532" i="1"/>
  <c r="D531" i="1"/>
  <c r="C531" i="1"/>
  <c r="D530" i="1"/>
  <c r="C530" i="1"/>
  <c r="D529" i="1"/>
  <c r="C529" i="1"/>
  <c r="D528" i="1"/>
  <c r="C528" i="1"/>
  <c r="D527" i="1"/>
  <c r="C527" i="1"/>
  <c r="D526" i="1"/>
  <c r="C526" i="1"/>
  <c r="D525" i="1"/>
  <c r="C525" i="1"/>
  <c r="D524" i="1"/>
  <c r="C524" i="1"/>
  <c r="D523" i="1"/>
  <c r="C523" i="1"/>
  <c r="D522" i="1"/>
  <c r="C522" i="1"/>
  <c r="D521" i="1"/>
  <c r="C521" i="1"/>
  <c r="D520" i="1"/>
  <c r="C520" i="1"/>
  <c r="D519" i="1"/>
  <c r="C519" i="1"/>
  <c r="D518" i="1"/>
  <c r="C518" i="1"/>
  <c r="D517" i="1"/>
  <c r="C517" i="1"/>
  <c r="D516" i="1"/>
  <c r="C516" i="1"/>
  <c r="D515" i="1"/>
  <c r="C515" i="1"/>
  <c r="D514" i="1"/>
  <c r="C514" i="1"/>
  <c r="D513" i="1"/>
  <c r="C513" i="1"/>
  <c r="D512" i="1"/>
  <c r="C512" i="1"/>
  <c r="D511" i="1"/>
  <c r="C511" i="1"/>
  <c r="D510" i="1"/>
  <c r="C510" i="1"/>
  <c r="D509" i="1"/>
  <c r="C509" i="1"/>
  <c r="D508" i="1"/>
  <c r="C508" i="1"/>
  <c r="D507" i="1"/>
  <c r="C507" i="1"/>
  <c r="D506" i="1"/>
  <c r="C506" i="1"/>
  <c r="D505" i="1"/>
  <c r="C505" i="1"/>
  <c r="D504" i="1"/>
  <c r="C504" i="1"/>
  <c r="D503" i="1"/>
  <c r="C503" i="1"/>
  <c r="D502" i="1"/>
  <c r="C502" i="1"/>
  <c r="D501" i="1"/>
  <c r="C501" i="1"/>
  <c r="D500" i="1"/>
  <c r="C500" i="1"/>
  <c r="D499" i="1"/>
  <c r="C499" i="1"/>
  <c r="D498" i="1"/>
  <c r="C498" i="1"/>
  <c r="D497" i="1"/>
  <c r="C497" i="1"/>
  <c r="D496" i="1"/>
  <c r="C496" i="1"/>
  <c r="D495" i="1"/>
  <c r="C495" i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  <c r="I11" i="5" l="1"/>
  <c r="I10" i="5"/>
  <c r="I9" i="5"/>
  <c r="I8" i="5"/>
  <c r="I7" i="5"/>
  <c r="I6" i="5"/>
  <c r="I5" i="5"/>
  <c r="D8" i="5"/>
  <c r="D10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F386A1-6C80-43D2-9669-4C3FF9BA9B6B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<sst xmlns="http://schemas.openxmlformats.org/spreadsheetml/2006/main" count="21456" uniqueCount="4352">
  <si>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</si>
  <si>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</si>
  <si>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</si>
  <si>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</si>
  <si>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</si>
  <si>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</si>
  <si>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</si>
  <si>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</si>
  <si>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</si>
  <si>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</si>
  <si>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</si>
  <si>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</si>
  <si>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</si>
  <si>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</si>
  <si>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</si>
  <si>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</si>
  <si>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</si>
  <si>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</si>
  <si>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</si>
  <si>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</si>
  <si>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</si>
  <si>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</si>
  <si>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</si>
  <si>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</si>
  <si>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</si>
  <si>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</si>
  <si>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</si>
  <si>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</si>
  <si>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</si>
  <si>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</si>
  <si>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</si>
  <si>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</si>
  <si>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</si>
  <si>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</si>
  <si>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</si>
  <si>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</si>
  <si>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</si>
  <si>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</si>
  <si>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</si>
  <si>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</si>
  <si>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</si>
  <si>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</si>
  <si>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</si>
  <si>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</si>
  <si>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</si>
  <si>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</si>
  <si>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</si>
  <si>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</si>
  <si>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</si>
  <si>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</si>
  <si>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</si>
  <si>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</si>
  <si>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</si>
  <si>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</si>
  <si>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</si>
  <si>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</si>
  <si>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</si>
  <si>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</si>
  <si>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</si>
  <si>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</si>
  <si>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</si>
  <si>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</si>
  <si>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</si>
  <si>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</si>
  <si>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</si>
  <si>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</si>
  <si>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</si>
  <si>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</si>
  <si>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</si>
  <si>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</si>
  <si>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</si>
  <si>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</si>
  <si>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</si>
  <si>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</si>
  <si>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</si>
  <si>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</si>
  <si>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</si>
  <si>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</si>
  <si>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</si>
  <si>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</si>
  <si>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</si>
  <si>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</si>
  <si>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</si>
  <si>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</si>
  <si>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</si>
  <si>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</si>
  <si>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</si>
  <si>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</si>
  <si>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</si>
  <si>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</si>
  <si>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</si>
  <si>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</si>
  <si>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</si>
  <si>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</si>
  <si>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</si>
  <si>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</si>
  <si>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</si>
  <si>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</si>
  <si>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</si>
  <si>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</si>
  <si>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</si>
  <si>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</si>
  <si>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</si>
  <si>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</si>
  <si>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</si>
  <si>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</si>
  <si>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</si>
  <si>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</si>
  <si>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</si>
  <si>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</si>
  <si>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</si>
  <si>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</si>
  <si>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</si>
  <si>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</si>
  <si>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</si>
  <si>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</si>
  <si>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</si>
  <si>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</si>
  <si>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</si>
  <si>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</si>
  <si>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</si>
  <si>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</si>
  <si>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</si>
  <si>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</si>
  <si>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</si>
  <si>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</si>
  <si>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</si>
  <si>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</si>
  <si>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</si>
  <si>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</si>
  <si>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</si>
  <si>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</si>
  <si>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</si>
  <si>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</si>
  <si>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</si>
  <si>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</si>
  <si>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</si>
  <si>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</si>
  <si>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</si>
  <si>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</si>
  <si>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</si>
  <si>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</si>
  <si>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</si>
  <si>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</si>
  <si>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</si>
  <si>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</si>
  <si>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</si>
  <si>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</si>
  <si>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</si>
  <si>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</si>
  <si>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</si>
  <si>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</si>
  <si>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</si>
  <si>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</si>
  <si>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</si>
  <si>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</si>
  <si>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</si>
  <si>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</si>
  <si>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</si>
  <si>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</si>
  <si>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</si>
  <si>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</si>
  <si>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</si>
  <si>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</si>
  <si>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</si>
  <si>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</si>
  <si>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</si>
  <si>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</si>
  <si>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</si>
  <si>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</si>
  <si>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</si>
  <si>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</si>
  <si>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</si>
  <si>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</si>
  <si>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</si>
  <si>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</si>
  <si>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</si>
  <si>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</si>
  <si>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</si>
  <si>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</si>
  <si>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</si>
  <si>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</si>
  <si>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</si>
  <si>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</si>
  <si>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</si>
  <si>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</si>
  <si>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</si>
  <si>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</si>
  <si>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</si>
  <si>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</si>
  <si>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</si>
  <si>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</si>
  <si>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</si>
  <si>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</si>
  <si>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</si>
  <si>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</si>
  <si>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</si>
  <si>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</si>
  <si>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</si>
  <si>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</si>
  <si>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</si>
  <si>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</si>
  <si>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</si>
  <si>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</si>
  <si>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</si>
  <si>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</si>
  <si>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</si>
  <si>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</si>
  <si>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</si>
  <si>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</si>
  <si>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</si>
  <si>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</si>
  <si>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</si>
  <si>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</si>
  <si>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</si>
  <si>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</si>
  <si>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</si>
  <si>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</si>
  <si>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</si>
  <si>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</si>
  <si>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</si>
  <si>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</si>
  <si>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</si>
  <si>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</si>
  <si>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</si>
  <si>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</si>
  <si>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</si>
  <si>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</si>
  <si>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</si>
  <si>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</si>
  <si>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</si>
  <si>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</si>
  <si>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</si>
  <si>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</si>
  <si>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</si>
  <si>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</si>
  <si>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</si>
  <si>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</si>
  <si>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</si>
  <si>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</si>
  <si>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</si>
  <si>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</si>
  <si>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</si>
  <si>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</si>
  <si>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</si>
  <si>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</si>
  <si>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</si>
  <si>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</si>
  <si>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</si>
  <si>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</si>
  <si>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</si>
  <si>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</si>
  <si>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</si>
  <si>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</si>
  <si>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</si>
  <si>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</si>
  <si>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</si>
  <si>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</si>
  <si>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</si>
  <si>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</si>
  <si>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</si>
  <si>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</si>
  <si>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</si>
  <si>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</si>
  <si>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</si>
  <si>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</si>
  <si>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</si>
  <si>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</si>
  <si>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</si>
  <si>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</si>
  <si>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</si>
  <si>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</si>
  <si>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</si>
  <si>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</si>
  <si>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</si>
  <si>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</si>
  <si>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</si>
  <si>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</si>
  <si>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</si>
  <si>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</si>
  <si>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</si>
  <si>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</si>
  <si>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</si>
  <si>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</si>
  <si>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</si>
  <si>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</si>
  <si>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</si>
  <si>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</si>
  <si>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</si>
  <si>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</si>
  <si>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</si>
  <si>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</si>
  <si>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</si>
  <si>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</si>
  <si>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</si>
  <si>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</si>
  <si>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</si>
  <si>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</si>
  <si>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</si>
  <si>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</si>
  <si>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</si>
  <si>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</si>
  <si>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</si>
  <si>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</si>
  <si>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</si>
  <si>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</si>
  <si>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</si>
  <si>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</si>
  <si>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</si>
  <si>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</si>
  <si>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</si>
  <si>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</si>
  <si>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</si>
  <si>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</si>
  <si>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</si>
  <si>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</si>
  <si>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</si>
  <si>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</si>
  <si>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</si>
  <si>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</si>
  <si>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</si>
  <si>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</si>
  <si>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</si>
  <si>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</si>
  <si>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</si>
  <si>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</si>
  <si>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</si>
  <si>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</si>
  <si>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</si>
  <si>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</si>
  <si>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</si>
  <si>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</si>
  <si>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</si>
  <si>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</si>
  <si>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</si>
  <si>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</si>
  <si>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</si>
  <si>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</si>
  <si>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</si>
  <si>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</si>
  <si>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</si>
  <si>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</si>
  <si>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</si>
  <si>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</si>
  <si>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</si>
  <si>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</si>
  <si>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</si>
  <si>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</si>
  <si>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</si>
  <si>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</si>
  <si>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</si>
  <si>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</si>
  <si>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</si>
  <si>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</si>
  <si>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</si>
  <si>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</si>
  <si>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</si>
  <si>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</si>
  <si>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</si>
  <si>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</si>
  <si>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</si>
  <si>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</si>
  <si>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</si>
  <si>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</si>
  <si>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</si>
  <si>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</si>
  <si>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</si>
  <si>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</si>
  <si>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</si>
  <si>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</si>
  <si>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</si>
  <si>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</si>
  <si>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</si>
  <si>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</si>
  <si>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</si>
  <si>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</si>
  <si>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</si>
  <si>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</si>
  <si>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</si>
  <si>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</si>
  <si>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</si>
  <si>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</si>
  <si>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</si>
  <si>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</si>
  <si>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</si>
  <si>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</si>
  <si>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</si>
  <si>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</si>
  <si>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</si>
  <si>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</si>
  <si>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</si>
  <si>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</si>
  <si>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</si>
  <si>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</si>
  <si>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</si>
  <si>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</si>
  <si>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</si>
  <si>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</si>
  <si>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</si>
  <si>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</si>
  <si>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</si>
  <si>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</si>
  <si>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</si>
  <si>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</si>
  <si>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</si>
  <si>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</si>
  <si>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</si>
  <si>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</si>
  <si>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</si>
  <si>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</si>
  <si>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</si>
  <si>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</si>
  <si>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</si>
  <si>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</si>
  <si>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</si>
  <si>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</si>
  <si>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</si>
  <si>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</si>
  <si>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</si>
  <si>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</si>
  <si>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</si>
  <si>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</si>
  <si>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</si>
  <si>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</si>
  <si>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</si>
  <si>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</si>
  <si>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</si>
  <si>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</si>
  <si>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</si>
  <si>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</si>
  <si>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</si>
  <si>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</si>
  <si>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</si>
  <si>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</si>
  <si>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</si>
  <si>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</si>
  <si>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</si>
  <si>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</si>
  <si>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</si>
  <si>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</si>
  <si>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</si>
  <si>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</si>
  <si>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</si>
  <si>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</si>
  <si>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</si>
  <si>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</si>
  <si>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</si>
  <si>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</si>
  <si>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</si>
  <si>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</si>
  <si>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</si>
  <si>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</si>
  <si>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</si>
  <si>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</si>
  <si>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</si>
  <si>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</si>
  <si>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</si>
  <si>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</si>
  <si>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</si>
  <si>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</si>
  <si>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</si>
  <si>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</si>
  <si>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</si>
  <si>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</si>
  <si>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</si>
  <si>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</si>
  <si>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</si>
  <si>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</si>
  <si>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</si>
  <si>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</si>
  <si>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</si>
  <si>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</si>
  <si>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</si>
  <si>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</si>
  <si>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</si>
  <si>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</si>
  <si>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</si>
  <si>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</si>
  <si>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</si>
  <si>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</si>
  <si>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</si>
  <si>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</si>
  <si>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</si>
  <si>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</si>
  <si>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</si>
  <si>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</si>
  <si>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</si>
  <si>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</si>
  <si>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</si>
  <si>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</si>
  <si>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</si>
  <si>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</si>
  <si>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</si>
  <si>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</si>
  <si>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</si>
  <si>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</si>
  <si>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</si>
  <si>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</si>
  <si>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</si>
  <si>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</si>
  <si>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</si>
  <si>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</si>
  <si>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</si>
  <si>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</si>
  <si>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</si>
  <si>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</si>
  <si>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</si>
  <si>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</si>
  <si>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</si>
  <si>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</si>
  <si>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</si>
  <si>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</si>
  <si>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</si>
  <si>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</si>
  <si>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</si>
  <si>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</si>
  <si>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</si>
  <si>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</si>
  <si>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</si>
  <si>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</si>
  <si>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</si>
  <si>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</si>
  <si>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</si>
  <si>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</si>
  <si>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</si>
  <si>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</si>
  <si>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</si>
  <si>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</si>
  <si>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</si>
  <si>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</si>
  <si>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</si>
  <si>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</si>
  <si>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</si>
  <si>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</si>
  <si>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</si>
  <si>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</si>
  <si>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</si>
  <si>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</si>
  <si>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</si>
  <si>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</si>
  <si>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</si>
  <si>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</si>
  <si>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</si>
  <si>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</si>
  <si>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</si>
  <si>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</si>
  <si>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</si>
  <si>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</si>
  <si>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</si>
  <si>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</si>
  <si>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</si>
  <si>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</si>
  <si>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</si>
  <si>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</si>
  <si>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</si>
  <si>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</si>
  <si>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</si>
  <si>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</si>
  <si>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</si>
  <si>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</si>
  <si>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</si>
  <si>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</si>
  <si>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</si>
  <si>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</si>
  <si>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</si>
  <si>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</si>
  <si>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</si>
  <si>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</si>
  <si>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</si>
  <si>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</si>
  <si>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</si>
  <si>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</si>
  <si>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</si>
  <si>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</si>
  <si>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</si>
  <si>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</si>
  <si>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</si>
  <si>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</si>
  <si>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</si>
  <si>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</si>
  <si>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</si>
  <si>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</si>
  <si>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</si>
  <si>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</si>
  <si>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</si>
  <si>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</si>
  <si>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</si>
  <si>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</si>
  <si>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</si>
  <si>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</si>
  <si>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</si>
  <si>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</si>
  <si>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</si>
  <si>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</si>
  <si>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</si>
  <si>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</si>
  <si>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</si>
  <si>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</si>
  <si>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</si>
  <si>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</si>
  <si>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</si>
  <si>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</si>
  <si>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</si>
  <si>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</si>
  <si>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</si>
  <si>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</si>
  <si>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</si>
  <si>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</si>
  <si>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</si>
  <si>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</si>
  <si>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</si>
  <si>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</si>
  <si>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</si>
  <si>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</si>
  <si>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</si>
  <si>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</si>
  <si>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</si>
  <si>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</si>
  <si>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</si>
  <si>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</si>
  <si>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</si>
  <si>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</si>
  <si>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</si>
  <si>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</si>
  <si>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</si>
  <si>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</si>
  <si>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</si>
  <si>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</si>
  <si>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</si>
  <si>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</si>
  <si>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</si>
  <si>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</si>
  <si>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</si>
  <si>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</si>
  <si>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</si>
  <si>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</si>
  <si>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</si>
  <si>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</si>
  <si>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</si>
  <si>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</si>
  <si>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</si>
  <si>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</si>
  <si>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</si>
  <si>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</si>
  <si>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</si>
  <si>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</si>
  <si>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</si>
  <si>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</si>
  <si>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</si>
  <si>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</si>
  <si>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</si>
  <si>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</si>
  <si>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</si>
  <si>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</si>
  <si>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</si>
  <si>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</si>
  <si>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</si>
  <si>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</si>
  <si>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</si>
  <si>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</si>
  <si>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</si>
  <si>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</si>
  <si>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</si>
  <si>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</si>
  <si>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</si>
  <si>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</si>
  <si>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</si>
  <si>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</si>
  <si>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</si>
  <si>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</si>
  <si>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</si>
  <si>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</si>
  <si>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</si>
  <si>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</si>
  <si>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</si>
  <si>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</si>
  <si>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</si>
  <si>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</si>
  <si>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</si>
  <si>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</si>
  <si>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</si>
  <si>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</si>
  <si>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</si>
  <si>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</si>
  <si>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</si>
  <si>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</si>
  <si>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</si>
  <si>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</si>
  <si>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</si>
  <si>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</si>
  <si>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</si>
  <si>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</si>
  <si>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</si>
  <si>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</si>
  <si>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</si>
  <si>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</si>
  <si>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</si>
  <si>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</si>
  <si>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</si>
  <si>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</si>
  <si>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</si>
  <si>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</si>
  <si>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</si>
  <si>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</si>
  <si>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</si>
  <si>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</si>
  <si>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</si>
  <si>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</si>
  <si>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</si>
  <si>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</si>
  <si>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</si>
  <si>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</si>
  <si>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</si>
  <si>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</si>
  <si>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</si>
  <si>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</si>
  <si>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</si>
  <si>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</si>
  <si>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</si>
  <si>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</si>
  <si>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</si>
  <si>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</si>
  <si>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</si>
  <si>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</si>
  <si>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</si>
  <si>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</si>
  <si>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</si>
  <si>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</si>
  <si>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</si>
  <si>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</si>
  <si>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</si>
  <si>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</si>
  <si>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</si>
  <si>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</si>
  <si>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</si>
  <si>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</si>
  <si>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</si>
  <si>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</si>
  <si>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</si>
  <si>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</si>
  <si>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</si>
  <si>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</si>
  <si>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</si>
  <si>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</si>
  <si>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</si>
  <si>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</si>
  <si>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</si>
  <si>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</si>
  <si>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</si>
  <si>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</si>
  <si>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</si>
  <si>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</si>
  <si>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</si>
  <si>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</si>
  <si>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</si>
  <si>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</si>
  <si>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</si>
  <si>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</si>
  <si>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</si>
  <si>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</si>
  <si>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</si>
  <si>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</si>
  <si>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</si>
  <si>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</si>
  <si>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</si>
  <si>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</si>
  <si>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</si>
  <si>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</si>
  <si>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</si>
  <si>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</si>
  <si>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</si>
  <si>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</si>
  <si>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</si>
  <si>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</si>
  <si>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</si>
  <si>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</si>
  <si>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</si>
  <si>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</si>
  <si>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</si>
  <si>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</si>
  <si>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</si>
  <si>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</si>
  <si>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</si>
  <si>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</si>
  <si>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</si>
  <si>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</si>
  <si>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</si>
  <si>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</si>
  <si>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</si>
  <si>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</si>
  <si>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</si>
  <si>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</si>
  <si>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</si>
  <si>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</si>
  <si>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</si>
  <si>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</si>
  <si>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</si>
  <si>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</si>
  <si>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</si>
  <si>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</si>
  <si>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</si>
  <si>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</si>
  <si>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</si>
  <si>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</si>
  <si>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</si>
  <si>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</si>
  <si>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</si>
  <si>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</si>
  <si>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</si>
  <si>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</si>
  <si>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</si>
  <si>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</si>
  <si>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</si>
  <si>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</si>
  <si>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</si>
  <si>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</si>
  <si>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</si>
  <si>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</si>
  <si>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</si>
  <si>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</si>
  <si>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</si>
  <si>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</si>
  <si>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</si>
  <si>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</si>
  <si>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</si>
  <si>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</si>
  <si>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</si>
  <si>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</si>
  <si>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</si>
  <si>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</si>
  <si>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</si>
  <si>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</si>
  <si>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</si>
  <si>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</si>
  <si>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</si>
  <si>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</si>
  <si>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</si>
  <si>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</si>
  <si>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</si>
  <si>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</si>
  <si>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</si>
  <si>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</si>
  <si>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</si>
  <si>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</si>
  <si>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</si>
  <si>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</si>
  <si>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</si>
  <si>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</si>
  <si>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</si>
  <si>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</si>
  <si>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</si>
  <si>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</si>
  <si>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</si>
  <si>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</si>
  <si>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</si>
  <si>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</si>
  <si>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</si>
  <si>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</si>
  <si>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</si>
  <si>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</si>
  <si>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</si>
  <si>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</si>
  <si>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</si>
  <si>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</si>
  <si>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</si>
  <si>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</si>
  <si>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</si>
  <si>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</si>
  <si>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</si>
  <si>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</si>
  <si>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</si>
  <si>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</si>
  <si>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</si>
  <si>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</si>
  <si>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</si>
  <si>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</si>
  <si>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</si>
  <si>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</si>
  <si>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</si>
  <si>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</si>
  <si>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</si>
  <si>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</si>
  <si>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</si>
  <si>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</si>
  <si>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</si>
  <si>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</si>
  <si>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</si>
  <si>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</si>
  <si>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</si>
  <si>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</si>
  <si>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</si>
  <si>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</si>
  <si>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</si>
  <si>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</si>
  <si>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</si>
  <si>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</si>
  <si>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</si>
  <si>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</si>
  <si>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</si>
  <si>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</si>
  <si>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</si>
  <si>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</si>
  <si>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</si>
  <si>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</si>
  <si>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</si>
  <si>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</si>
  <si>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</si>
  <si>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</si>
  <si>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</si>
  <si>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</si>
  <si>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</si>
  <si>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</si>
  <si>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</si>
  <si>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</si>
  <si>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</si>
  <si>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</si>
  <si>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</si>
  <si>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</si>
  <si>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</si>
  <si>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</si>
  <si>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</si>
  <si>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</si>
  <si>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</si>
  <si>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</si>
  <si>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</si>
  <si>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</si>
  <si>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</si>
  <si>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</si>
  <si>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</si>
  <si>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</si>
  <si>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</si>
  <si>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</si>
  <si>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</si>
  <si>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</si>
  <si>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</si>
  <si>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</si>
  <si>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</si>
  <si>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</si>
  <si>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</si>
  <si>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</si>
  <si>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</si>
  <si>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</si>
  <si>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</si>
  <si>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</si>
  <si>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</si>
  <si>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</si>
  <si>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</si>
  <si>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</si>
  <si>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</si>
  <si>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</si>
  <si>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</si>
  <si>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</si>
  <si>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</si>
  <si>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</si>
  <si>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</si>
  <si>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</si>
  <si>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</si>
  <si>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</si>
  <si>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</si>
  <si>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</si>
  <si>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</si>
  <si>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</si>
  <si>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</si>
  <si>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</si>
  <si>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</si>
  <si>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</si>
  <si>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</si>
  <si>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</si>
  <si>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</si>
  <si>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</si>
  <si>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</si>
  <si>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</si>
  <si>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</si>
  <si>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</si>
  <si>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</si>
  <si>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</si>
  <si>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</si>
  <si>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</si>
  <si>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</si>
  <si>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</si>
  <si>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</si>
  <si>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</si>
  <si>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</si>
  <si>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</si>
  <si>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</si>
  <si>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</si>
  <si>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</si>
  <si>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</si>
  <si>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</si>
  <si>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</si>
  <si>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</si>
  <si>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</si>
  <si>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</si>
  <si>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</si>
  <si>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</si>
  <si>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</si>
  <si>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</si>
  <si>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</si>
  <si>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</si>
  <si>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</si>
  <si>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</si>
  <si>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</si>
  <si>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</si>
  <si>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</si>
  <si>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</si>
  <si>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</si>
  <si>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</si>
  <si>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</si>
  <si>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</si>
  <si>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</si>
  <si>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</si>
  <si>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</si>
  <si>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</si>
  <si>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</si>
  <si>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</si>
  <si>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</si>
  <si>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</si>
  <si>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</si>
  <si>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</si>
  <si>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</si>
  <si>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</si>
  <si>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</si>
  <si>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</si>
  <si>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</si>
  <si>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</si>
  <si>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</si>
  <si>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</si>
  <si>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</si>
  <si>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</si>
  <si>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</si>
  <si>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</si>
  <si>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</si>
  <si>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</si>
  <si>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</si>
  <si>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</si>
  <si>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</si>
  <si>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</si>
  <si>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</si>
  <si>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</si>
  <si>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</si>
  <si>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</si>
  <si>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</si>
  <si>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</si>
  <si>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</si>
  <si>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</si>
  <si>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</si>
  <si>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</si>
  <si>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</si>
  <si>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</si>
  <si>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</si>
  <si>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</si>
  <si>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</si>
  <si>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</si>
  <si>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</si>
  <si>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</si>
  <si>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</si>
  <si>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</si>
  <si>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</si>
  <si>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</si>
  <si>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</si>
  <si>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</si>
  <si>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</si>
  <si>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</si>
  <si>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</si>
  <si>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</si>
  <si>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</si>
  <si>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</si>
  <si>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</si>
  <si>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</si>
  <si>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</si>
  <si>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</si>
  <si>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</si>
  <si>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</si>
  <si>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</si>
  <si>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</si>
  <si>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</si>
  <si>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</si>
  <si>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</si>
  <si>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</si>
  <si>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</si>
  <si>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</si>
  <si>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</si>
  <si>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</si>
  <si>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</si>
  <si>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</si>
  <si>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</si>
  <si>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</si>
  <si>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</si>
  <si>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</si>
  <si>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</si>
  <si>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</si>
  <si>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</si>
  <si>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</si>
  <si>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</si>
  <si>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</si>
  <si>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</si>
  <si>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</si>
  <si>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</si>
  <si>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</si>
  <si>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</si>
  <si>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</si>
  <si>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</si>
  <si>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</si>
  <si>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</si>
  <si>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</si>
  <si>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</si>
  <si>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</si>
  <si>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</si>
  <si>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</si>
  <si>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</si>
  <si>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</si>
  <si>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</si>
  <si>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</si>
  <si>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</si>
  <si>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</si>
  <si>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</si>
  <si>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</si>
  <si>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</si>
  <si>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</si>
  <si>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</si>
  <si>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</si>
  <si>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</si>
  <si>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</si>
  <si>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</si>
  <si>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</si>
  <si>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</si>
  <si>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</si>
  <si>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</si>
  <si>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</si>
  <si>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</si>
  <si>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</si>
  <si>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</si>
  <si>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</si>
  <si>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</si>
  <si>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</si>
  <si>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</si>
  <si>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</si>
  <si>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</si>
  <si>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</si>
  <si>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</si>
  <si>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</si>
  <si>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</si>
  <si>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</si>
  <si>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</si>
  <si>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</si>
  <si>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</si>
  <si>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</si>
  <si>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</si>
  <si>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</si>
  <si>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</si>
  <si>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</si>
  <si>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</si>
  <si>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</si>
  <si>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</si>
  <si>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</si>
  <si>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</si>
  <si>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</si>
  <si>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</si>
  <si>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</si>
  <si>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</si>
  <si>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</si>
  <si>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</si>
  <si>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</si>
  <si>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</si>
  <si>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</si>
  <si>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</si>
  <si>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</si>
  <si>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</si>
  <si>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</si>
  <si>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</si>
  <si>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</si>
  <si>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</si>
  <si>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</si>
  <si>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</si>
  <si>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</si>
  <si>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</si>
  <si>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</si>
  <si>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</si>
  <si>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</si>
  <si>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</si>
  <si>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</si>
  <si>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</si>
  <si>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</si>
  <si>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</si>
  <si>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</si>
  <si>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</si>
  <si>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</si>
  <si>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</si>
  <si>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</si>
  <si>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</si>
  <si>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</si>
  <si>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</si>
  <si>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</si>
  <si>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</si>
  <si>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</si>
  <si>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</si>
  <si>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</si>
  <si>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</si>
  <si>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</si>
  <si>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</si>
  <si>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</si>
  <si>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</si>
  <si>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</si>
  <si>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</si>
  <si>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</si>
  <si>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</si>
  <si>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</si>
  <si>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</si>
  <si>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</si>
  <si>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</si>
  <si>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</si>
  <si>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</si>
  <si>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</si>
  <si>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</si>
  <si>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</si>
  <si>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</si>
  <si>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</si>
  <si>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</si>
  <si>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</si>
  <si>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</si>
  <si>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</si>
  <si>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</si>
  <si>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</si>
  <si>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</si>
  <si>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</si>
  <si>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</si>
  <si>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</si>
  <si>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</si>
  <si>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</si>
  <si>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</si>
  <si>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</si>
  <si>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</si>
  <si>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</si>
  <si>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</si>
  <si>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</si>
  <si>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</si>
  <si>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</si>
  <si>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</si>
  <si>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</si>
  <si>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</si>
  <si>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</si>
  <si>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</si>
  <si>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</si>
  <si>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</si>
  <si>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</si>
  <si>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</si>
  <si>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</si>
  <si>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</si>
  <si>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</si>
  <si>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</si>
  <si>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</si>
  <si>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</si>
  <si>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</si>
  <si>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</si>
  <si>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</si>
  <si>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</si>
  <si>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</si>
  <si>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</si>
  <si>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</si>
  <si>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</si>
  <si>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</si>
  <si>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</si>
  <si>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</si>
  <si>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</si>
  <si>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</si>
  <si>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</si>
  <si>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</si>
  <si>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</si>
  <si>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</si>
  <si>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</si>
  <si>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</si>
  <si>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</si>
  <si>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</si>
  <si>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</si>
  <si>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</si>
  <si>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</si>
  <si>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</si>
  <si>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</si>
  <si>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</si>
  <si>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</si>
  <si>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</si>
  <si>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</si>
  <si>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</si>
  <si>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</si>
  <si>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</si>
  <si>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</si>
  <si>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</si>
  <si>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</si>
  <si>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</si>
  <si>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</si>
  <si>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</si>
  <si>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</si>
  <si>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</si>
  <si>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</si>
  <si>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</si>
  <si>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</si>
  <si>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</si>
  <si>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</si>
  <si>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</si>
  <si>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</si>
  <si>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</si>
  <si>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</si>
  <si>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</si>
  <si>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</si>
  <si>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</si>
  <si>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</si>
  <si>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</si>
  <si>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</si>
  <si>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</si>
  <si>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</si>
  <si>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</si>
  <si>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</si>
  <si>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</si>
  <si>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</si>
  <si>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</si>
  <si>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</si>
  <si>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</si>
  <si>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</si>
  <si>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</si>
  <si>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</si>
  <si>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</si>
  <si>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</si>
  <si>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</si>
  <si>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</si>
  <si>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</si>
  <si>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</si>
  <si>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</si>
  <si>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</si>
  <si>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</si>
  <si>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</si>
  <si>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</si>
  <si>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</si>
  <si>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</si>
  <si>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</si>
  <si>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</si>
  <si>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</si>
  <si>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</si>
  <si>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</si>
  <si>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</si>
  <si>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</si>
  <si>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</si>
  <si>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</si>
  <si>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</si>
  <si>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</si>
  <si>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</si>
  <si>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</si>
  <si>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</si>
  <si>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</si>
  <si>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</si>
  <si>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</si>
  <si>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</si>
  <si>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</si>
  <si>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</si>
  <si>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</si>
  <si>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</si>
  <si>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</si>
  <si>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</si>
  <si>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</si>
  <si>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</si>
  <si>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</si>
  <si>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</si>
  <si>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</si>
  <si>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</si>
  <si>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</si>
  <si>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</si>
  <si>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</si>
  <si>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</si>
  <si>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</si>
  <si>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</si>
  <si>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</si>
  <si>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</si>
  <si>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</si>
  <si>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</si>
  <si>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</si>
  <si>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</si>
  <si>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</si>
  <si>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</si>
  <si>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</si>
  <si>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</si>
  <si>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</si>
  <si>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</si>
  <si>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</si>
  <si>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</si>
  <si>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</si>
  <si>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</si>
  <si>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</si>
  <si>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</si>
  <si>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</si>
  <si>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</si>
  <si>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</si>
  <si>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</si>
  <si>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</si>
  <si>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</si>
  <si>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</si>
  <si>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</si>
  <si>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</si>
  <si>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</si>
  <si>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</si>
  <si>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</si>
  <si>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</si>
  <si>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</si>
  <si>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</si>
  <si>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</si>
  <si>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</si>
  <si>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</si>
  <si>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</si>
  <si>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</si>
  <si>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</si>
  <si>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</si>
  <si>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</si>
  <si>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</si>
  <si>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</si>
  <si>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</si>
  <si>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</si>
  <si>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</si>
  <si>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</si>
  <si>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</si>
  <si>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</si>
  <si>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</si>
  <si>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</si>
  <si>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</si>
  <si>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</si>
  <si>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</si>
  <si>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</si>
  <si>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</si>
  <si>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</si>
  <si>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</si>
  <si>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</si>
  <si>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</si>
  <si>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</si>
  <si>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</si>
  <si>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</si>
  <si>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</si>
  <si>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</si>
  <si>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</si>
  <si>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</si>
  <si>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</si>
  <si>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</si>
  <si>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</si>
  <si>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</si>
  <si>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</si>
  <si>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</si>
  <si>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</si>
  <si>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</si>
  <si>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</si>
  <si>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</si>
  <si>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</si>
  <si>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</si>
  <si>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</si>
  <si>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</si>
  <si>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</si>
  <si>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</si>
  <si>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</si>
  <si>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</si>
  <si>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</si>
  <si>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</si>
  <si>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</si>
  <si>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</si>
  <si>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</si>
  <si>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</si>
  <si>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</si>
  <si>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</si>
  <si>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</si>
  <si>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</si>
  <si>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</si>
  <si>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</si>
  <si>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</si>
  <si>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</si>
  <si>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</si>
  <si>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</si>
  <si>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</si>
  <si>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</si>
  <si>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</si>
  <si>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</si>
  <si>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</si>
  <si>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</si>
  <si>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</si>
  <si>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</si>
  <si>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</si>
  <si>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</si>
  <si>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</si>
  <si>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</si>
  <si>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</si>
  <si>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</si>
  <si>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</si>
  <si>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</si>
  <si>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</si>
  <si>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</si>
  <si>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</si>
  <si>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</si>
  <si>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</si>
  <si>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</si>
  <si>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</si>
  <si>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</si>
  <si>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</si>
  <si>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</si>
  <si>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</si>
  <si>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</si>
  <si>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</si>
  <si>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</si>
  <si>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</si>
  <si>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</si>
  <si>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</si>
  <si>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</si>
  <si>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</si>
  <si>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</si>
  <si>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</si>
  <si>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</si>
  <si>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</si>
  <si>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</si>
  <si>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</si>
  <si>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</si>
  <si>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</si>
  <si>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</si>
  <si>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</si>
  <si>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</si>
  <si>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</si>
  <si>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</si>
  <si>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</si>
  <si>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</si>
  <si>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</si>
  <si>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</si>
  <si>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</si>
  <si>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</si>
  <si>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</si>
  <si>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</si>
  <si>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</si>
  <si>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</si>
  <si>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</si>
  <si>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</si>
  <si>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</si>
  <si>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</si>
  <si>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</si>
  <si>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</si>
  <si>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</si>
  <si>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</si>
  <si>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</si>
  <si>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</si>
  <si>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</si>
  <si>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</si>
  <si>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</si>
  <si>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</si>
  <si>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</si>
  <si>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</si>
  <si>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</si>
  <si>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</si>
  <si>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</si>
  <si>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</si>
  <si>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</si>
  <si>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</si>
  <si>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</si>
  <si>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</si>
  <si>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</si>
  <si>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</si>
  <si>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</si>
  <si>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</si>
  <si>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</si>
  <si>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</si>
  <si>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</si>
  <si>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</si>
  <si>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</si>
  <si>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</si>
  <si>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</si>
  <si>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</si>
  <si>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</si>
  <si>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</si>
  <si>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</si>
  <si>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</si>
  <si>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</si>
  <si>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</si>
  <si>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</si>
  <si>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</si>
  <si>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</si>
  <si>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</si>
  <si>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</si>
  <si>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</si>
  <si>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</si>
  <si>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</si>
  <si>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</si>
  <si>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</si>
  <si>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</si>
  <si>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</si>
  <si>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</si>
  <si>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</si>
  <si>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</si>
  <si>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</si>
  <si>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</si>
  <si>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</si>
  <si>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</si>
  <si>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</si>
  <si>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</si>
  <si>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</si>
  <si>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</si>
  <si>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</si>
  <si>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</si>
  <si>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</si>
  <si>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</si>
  <si>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</si>
  <si>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</si>
  <si>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</si>
  <si>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</si>
  <si>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</si>
  <si>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</si>
  <si>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</si>
  <si>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</si>
  <si>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</si>
  <si>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</si>
  <si>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</si>
  <si>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</si>
  <si>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</si>
  <si>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</si>
  <si>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</si>
  <si>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</si>
  <si>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</si>
  <si>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</si>
  <si>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</si>
  <si>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</si>
  <si>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</si>
  <si>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</si>
  <si>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</si>
  <si>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</si>
  <si>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</si>
  <si>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</si>
  <si>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</si>
  <si>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</si>
  <si>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</si>
  <si>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</si>
  <si>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</si>
  <si>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</si>
  <si>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</si>
  <si>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</si>
  <si>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</si>
  <si>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</si>
  <si>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</si>
  <si>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</si>
  <si>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</si>
  <si>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</si>
  <si>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</si>
  <si>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</si>
  <si>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</si>
  <si>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</si>
  <si>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</si>
  <si>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</si>
  <si>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</si>
  <si>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</si>
  <si>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</si>
  <si>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</si>
  <si>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</si>
  <si>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</si>
  <si>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</si>
  <si>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</si>
  <si>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</si>
  <si>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</si>
  <si>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</si>
  <si>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</si>
  <si>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</si>
  <si>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</si>
  <si>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</si>
  <si>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</si>
  <si>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</si>
  <si>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</si>
  <si>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</si>
  <si>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</si>
  <si>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</si>
  <si>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</si>
  <si>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</si>
  <si>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</si>
  <si>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</si>
  <si>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</si>
  <si>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</si>
  <si>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</si>
  <si>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</si>
  <si>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</si>
  <si>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</si>
  <si>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</si>
  <si>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</si>
  <si>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</si>
  <si>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</si>
  <si>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</si>
  <si>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</si>
  <si>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</si>
  <si>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</si>
  <si>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</si>
  <si>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</si>
  <si>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</si>
  <si>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</si>
  <si>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</si>
  <si>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</si>
  <si>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</si>
  <si>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</si>
  <si>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</si>
  <si>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</si>
  <si>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</si>
  <si>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</si>
  <si>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</si>
  <si>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</si>
  <si>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</si>
  <si>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</si>
  <si>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</si>
  <si>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</si>
  <si>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</si>
  <si>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</si>
  <si>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</si>
  <si>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</si>
  <si>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</si>
  <si>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</si>
  <si>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</si>
  <si>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</si>
  <si>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</si>
  <si>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</si>
  <si>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</si>
  <si>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</si>
  <si>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</si>
  <si>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</si>
  <si>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</si>
  <si>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</si>
  <si>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</si>
  <si>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</si>
  <si>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</si>
  <si>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</si>
  <si>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</si>
  <si>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</si>
  <si>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</si>
  <si>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</si>
  <si>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</si>
  <si>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</si>
  <si>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</si>
  <si>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</si>
  <si>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</si>
  <si>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</si>
  <si>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</si>
  <si>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</si>
  <si>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</si>
  <si>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</si>
  <si>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</si>
  <si>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</si>
  <si>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</si>
  <si>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</si>
  <si>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</si>
  <si>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</si>
  <si>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</si>
  <si>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</si>
  <si>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</si>
  <si>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</si>
  <si>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</si>
  <si>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</si>
  <si>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</si>
  <si>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</si>
  <si>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</si>
  <si>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</si>
  <si>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</si>
  <si>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</si>
  <si>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</si>
  <si>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</si>
  <si>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</si>
  <si>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</si>
  <si>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</si>
  <si>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</si>
  <si>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</si>
  <si>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</si>
  <si>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</si>
  <si>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</si>
  <si>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</si>
  <si>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</si>
  <si>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</si>
  <si>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</si>
  <si>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</si>
  <si>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</si>
  <si>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</si>
  <si>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</si>
  <si>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</si>
  <si>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</si>
  <si>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</si>
  <si>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</si>
  <si>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</si>
  <si>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</si>
  <si>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</si>
  <si>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</si>
  <si>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</si>
  <si>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</si>
  <si>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</si>
  <si>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</si>
  <si>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</si>
  <si>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</si>
  <si>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</si>
  <si>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</si>
  <si>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</si>
  <si>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</si>
  <si>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</si>
  <si>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</si>
  <si>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</si>
  <si>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</si>
  <si>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</si>
  <si>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</si>
  <si>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</si>
  <si>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</si>
  <si>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</si>
  <si>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</si>
  <si>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</si>
  <si>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</si>
  <si>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</si>
  <si>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</si>
  <si>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</si>
  <si>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</si>
  <si>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</si>
  <si>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</si>
  <si>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</si>
  <si>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</si>
  <si>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</si>
  <si>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</si>
  <si>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</si>
  <si>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</si>
  <si>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</si>
  <si>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</si>
  <si>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</si>
  <si>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</si>
  <si>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</si>
  <si>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</si>
  <si>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</si>
  <si>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</si>
  <si>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</si>
  <si>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</si>
  <si>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</si>
  <si>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</si>
  <si>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</si>
  <si>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</si>
  <si>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</si>
  <si>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</si>
  <si>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</si>
  <si>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</si>
  <si>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</si>
  <si>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</si>
  <si>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</si>
  <si>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</si>
  <si>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</si>
  <si>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</si>
  <si>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</si>
  <si>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</si>
  <si>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</si>
  <si>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</si>
  <si>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</si>
  <si>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</si>
  <si>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</si>
  <si>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</si>
  <si>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</si>
  <si>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</si>
  <si>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</si>
  <si>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</si>
  <si>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</si>
  <si>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</si>
  <si>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</si>
  <si>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</si>
  <si>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</si>
  <si>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</si>
  <si>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</si>
  <si>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</si>
  <si>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</si>
  <si>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</si>
  <si>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</si>
  <si>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</si>
  <si>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</si>
  <si>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</si>
  <si>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</si>
  <si>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</si>
  <si>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</si>
  <si>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</si>
  <si>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</si>
  <si>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</si>
  <si>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</si>
  <si>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</si>
  <si>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</si>
  <si>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</si>
  <si>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</si>
  <si>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</si>
  <si>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</si>
  <si>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</si>
  <si>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</si>
  <si>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</si>
  <si>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</si>
  <si>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</si>
  <si>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</si>
  <si>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</si>
  <si>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</si>
  <si>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</si>
  <si>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</si>
  <si>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</si>
  <si>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</si>
  <si>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</si>
  <si>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</si>
  <si>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</si>
  <si>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</si>
  <si>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</si>
  <si>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</si>
  <si>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</si>
  <si>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</si>
  <si>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</si>
  <si>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</si>
  <si>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</si>
  <si>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</si>
  <si>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</si>
  <si>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</si>
  <si>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</si>
  <si>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</si>
  <si>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</si>
  <si>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</si>
  <si>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</si>
  <si>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</si>
  <si>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</si>
  <si>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</si>
  <si>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</si>
  <si>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</si>
  <si>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</si>
  <si>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</si>
  <si>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</si>
  <si>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</si>
  <si>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</si>
  <si>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</si>
  <si>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</si>
  <si>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</si>
  <si>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</si>
  <si>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</si>
  <si>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</si>
  <si>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</si>
  <si>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</si>
  <si>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</si>
  <si>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</si>
  <si>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</si>
  <si>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</si>
  <si>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</si>
  <si>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</si>
  <si>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</si>
  <si>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</si>
  <si>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</si>
  <si>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</si>
  <si>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</si>
  <si>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</si>
  <si>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</si>
  <si>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</si>
  <si>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</si>
  <si>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</si>
  <si>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</si>
  <si>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</si>
  <si>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</si>
  <si>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</si>
  <si>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</si>
  <si>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</si>
  <si>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</si>
  <si>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</si>
  <si>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</si>
  <si>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</si>
  <si>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</si>
  <si>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</si>
  <si>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</si>
  <si>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</si>
  <si>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</si>
  <si>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</si>
  <si>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</si>
  <si>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</si>
  <si>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</si>
  <si>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</si>
  <si>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</si>
  <si>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</si>
  <si>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</si>
  <si>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</si>
  <si>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</si>
  <si>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</si>
  <si>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</si>
  <si>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</si>
  <si>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</si>
  <si>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</si>
  <si>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</si>
  <si>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</si>
  <si>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</si>
  <si>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</si>
  <si>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</si>
  <si>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</si>
  <si>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</si>
  <si>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</si>
  <si>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</si>
  <si>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</si>
  <si>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</si>
  <si>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</si>
  <si>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</si>
  <si>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</si>
  <si>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</si>
  <si>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</si>
  <si>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</si>
  <si>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</si>
  <si>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</si>
  <si>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</si>
  <si>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</si>
  <si>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</si>
  <si>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</si>
  <si>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</si>
  <si>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</si>
  <si>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</si>
  <si>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</si>
  <si>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</si>
  <si>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</si>
  <si>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</si>
  <si>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</si>
  <si>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</si>
  <si>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</si>
  <si>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</si>
  <si>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</si>
  <si>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</si>
  <si>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</si>
  <si>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</si>
  <si>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</si>
  <si>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</si>
  <si>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</si>
  <si>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</si>
  <si>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</si>
  <si>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</si>
  <si>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</si>
  <si>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</si>
  <si>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</si>
  <si>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</si>
  <si>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</si>
  <si>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</si>
  <si>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</si>
  <si>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</si>
  <si>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</si>
  <si>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</si>
  <si>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</si>
  <si>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</si>
  <si>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</si>
  <si>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</si>
  <si>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</si>
  <si>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</si>
  <si>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</si>
  <si>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</si>
  <si>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</si>
  <si>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</si>
  <si>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</si>
  <si>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</si>
  <si>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</si>
  <si>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</si>
  <si>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</si>
  <si>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</si>
  <si>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</si>
  <si>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</si>
  <si>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</si>
  <si>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</si>
  <si>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</si>
  <si>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</si>
  <si>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</si>
  <si>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</si>
  <si>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</si>
  <si>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</si>
  <si>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</si>
  <si>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</si>
  <si>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</si>
  <si>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</si>
  <si>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</si>
  <si>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</si>
  <si>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</si>
  <si>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</si>
  <si>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</si>
  <si>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</si>
  <si>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</si>
  <si>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</si>
  <si>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</si>
  <si>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</si>
  <si>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</si>
  <si>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</si>
  <si>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</si>
  <si>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</si>
  <si>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</si>
  <si>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</si>
  <si>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</si>
  <si>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</si>
  <si>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</si>
  <si>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</si>
  <si>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</si>
  <si>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</si>
  <si>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</si>
  <si>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</si>
  <si>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</si>
  <si>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</si>
  <si>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</si>
  <si>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</si>
  <si>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</si>
  <si>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</si>
  <si>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</si>
  <si>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</si>
  <si>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</si>
  <si>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</si>
  <si>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</si>
  <si>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</si>
  <si>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</si>
  <si>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</si>
  <si>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</si>
  <si>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</si>
  <si>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</si>
  <si>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</si>
  <si>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</si>
  <si>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</si>
  <si>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</si>
  <si>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</si>
  <si>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</si>
  <si>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</si>
  <si>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</si>
  <si>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</si>
  <si>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</si>
  <si>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</si>
  <si>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</si>
  <si>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</si>
  <si>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</si>
  <si>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</si>
  <si>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</si>
  <si>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</si>
  <si>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</si>
  <si>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</si>
  <si>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</si>
  <si>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</si>
  <si>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</si>
  <si>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</si>
  <si>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</si>
  <si>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</si>
  <si>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</si>
  <si>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</si>
  <si>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</si>
  <si>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</si>
  <si>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</si>
  <si>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</si>
  <si>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</si>
  <si>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</si>
  <si>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</si>
  <si>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</si>
  <si>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</si>
  <si>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</si>
  <si>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</si>
  <si>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</si>
  <si>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</si>
  <si>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</si>
  <si>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</si>
  <si>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</si>
  <si>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</si>
  <si>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</si>
  <si>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</si>
  <si>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</si>
  <si>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</si>
  <si>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</si>
  <si>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</si>
  <si>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</si>
  <si>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</si>
  <si>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</si>
  <si>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</si>
  <si>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</si>
  <si>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</si>
  <si>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</si>
  <si>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</si>
  <si>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</si>
  <si>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</si>
  <si>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</si>
  <si>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</si>
  <si>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</si>
  <si>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</si>
  <si>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</si>
  <si>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</si>
  <si>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</si>
  <si>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</si>
  <si>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</si>
  <si>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</si>
  <si>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</si>
  <si>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</si>
  <si>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</si>
  <si>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</si>
  <si>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</si>
  <si>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</si>
  <si>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</si>
  <si>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</si>
  <si>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</si>
  <si>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</si>
  <si>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</si>
  <si>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</si>
  <si>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</si>
  <si>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</si>
  <si>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</si>
  <si>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</si>
  <si>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</si>
  <si>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</si>
  <si>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</si>
  <si>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</si>
  <si>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</si>
  <si>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</si>
  <si>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</si>
  <si>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</si>
  <si>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</si>
  <si>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</si>
  <si>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</si>
  <si>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</si>
  <si>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</si>
  <si>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</si>
  <si>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</si>
  <si>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</si>
  <si>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</si>
  <si>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</si>
  <si>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</si>
  <si>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</si>
  <si>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</si>
  <si>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</si>
  <si>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</si>
  <si>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</si>
  <si>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</si>
  <si>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</si>
  <si>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</si>
  <si>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</si>
  <si>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</si>
  <si>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</si>
  <si>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</si>
  <si>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</si>
  <si>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</si>
  <si>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</si>
  <si>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</si>
  <si>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</si>
  <si>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</si>
  <si>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</si>
  <si>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</si>
  <si>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</si>
  <si>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</si>
  <si>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</si>
  <si>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</si>
  <si>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</si>
  <si>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</si>
  <si>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</si>
  <si>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</si>
  <si>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</si>
  <si>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</si>
  <si>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</si>
  <si>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</si>
  <si>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</si>
  <si>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</si>
  <si>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</si>
  <si>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</si>
  <si>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</si>
  <si>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</si>
  <si>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</si>
  <si>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</si>
  <si>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</si>
  <si>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</si>
  <si>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</si>
  <si>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</si>
  <si>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</si>
  <si>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</si>
  <si>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</si>
  <si>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</si>
  <si>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</si>
  <si>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</si>
  <si>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</si>
  <si>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</si>
  <si>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</si>
  <si>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</si>
  <si>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</si>
  <si>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</si>
  <si>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</si>
  <si>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</si>
  <si>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</si>
  <si>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</si>
  <si>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</si>
  <si>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</si>
  <si>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</si>
  <si>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</si>
  <si>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</si>
  <si>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</si>
  <si>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</si>
  <si>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</si>
  <si>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</si>
  <si>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</si>
  <si>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</si>
  <si>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</si>
  <si>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</si>
  <si>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</si>
  <si>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</si>
  <si>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</si>
  <si>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</si>
  <si>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</si>
  <si>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</si>
  <si>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</si>
  <si>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</si>
  <si>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</si>
  <si>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</si>
  <si>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</si>
  <si>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</si>
  <si>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</si>
  <si>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</si>
  <si>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</si>
  <si>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</si>
  <si>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</si>
  <si>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</si>
  <si>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</si>
  <si>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</si>
  <si>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</si>
  <si>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</si>
  <si>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</si>
  <si>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</si>
  <si>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</si>
  <si>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</si>
  <si>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</si>
  <si>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</si>
  <si>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</si>
  <si>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</si>
  <si>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</si>
  <si>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</si>
  <si>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</si>
  <si>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</si>
  <si>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</si>
  <si>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</si>
  <si>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</si>
  <si>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</si>
  <si>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</si>
  <si>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</si>
  <si>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</si>
  <si>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</si>
  <si>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</si>
  <si>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</si>
  <si>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</si>
  <si>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</si>
  <si>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</si>
  <si>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</si>
  <si>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</si>
  <si>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</si>
  <si>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</si>
  <si>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</si>
  <si>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</si>
  <si>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</si>
  <si>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</si>
  <si>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</si>
  <si>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</si>
  <si>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</si>
  <si>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</si>
  <si>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</si>
  <si>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</si>
  <si>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</si>
  <si>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</si>
  <si>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</si>
  <si>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</si>
  <si>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</si>
  <si>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</si>
  <si>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</si>
  <si>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</si>
  <si>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</si>
  <si>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</si>
  <si>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</si>
  <si>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</si>
  <si>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</si>
  <si>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</si>
  <si>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</si>
  <si>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</si>
  <si>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</si>
  <si>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</si>
  <si>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</si>
  <si>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</si>
  <si>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</si>
  <si>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</si>
  <si>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</si>
  <si>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</si>
  <si>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</si>
  <si>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</si>
  <si>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</si>
  <si>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</si>
  <si>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</si>
  <si>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</si>
  <si>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</si>
  <si>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</si>
  <si>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</si>
  <si>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</si>
  <si>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</si>
  <si>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</si>
  <si>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</si>
  <si>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</si>
  <si>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</si>
  <si>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</si>
  <si>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</si>
  <si>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</si>
  <si>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</si>
  <si>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</si>
  <si>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</si>
  <si>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</si>
  <si>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</si>
  <si>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</si>
  <si>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</si>
  <si>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</si>
  <si>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</si>
  <si>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</si>
  <si>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</si>
  <si>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</si>
  <si>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</si>
  <si>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</si>
  <si>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</si>
  <si>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</si>
  <si>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</si>
  <si>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</si>
  <si>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</si>
  <si>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</si>
  <si>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</si>
  <si>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</si>
  <si>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</si>
  <si>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</si>
  <si>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</si>
  <si>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</si>
  <si>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</si>
  <si>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</si>
  <si>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</si>
  <si>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</si>
  <si>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</si>
  <si>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</si>
  <si>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</si>
  <si>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</si>
  <si>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</si>
  <si>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</si>
  <si>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</si>
  <si>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</si>
  <si>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</si>
  <si>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</si>
  <si>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</si>
  <si>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</si>
  <si>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</si>
  <si>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</si>
  <si>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</si>
  <si>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</si>
  <si>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</si>
  <si>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</si>
  <si>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</si>
  <si>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</si>
  <si>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</si>
  <si>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</si>
  <si>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</si>
  <si>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</si>
  <si>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</si>
  <si>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</si>
  <si>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</si>
  <si>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</si>
  <si>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</si>
  <si>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</si>
  <si>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</si>
  <si>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</si>
  <si>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</si>
  <si>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</si>
  <si>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</si>
  <si>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</si>
  <si>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</si>
  <si>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</si>
  <si>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</si>
  <si>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</si>
  <si>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</si>
  <si>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</si>
  <si>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</si>
  <si>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</si>
  <si>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</si>
  <si>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</si>
  <si>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</si>
  <si>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</si>
  <si>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</si>
  <si>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</si>
  <si>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</si>
  <si>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</si>
  <si>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</si>
  <si>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</si>
  <si>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</si>
  <si>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</si>
  <si>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</si>
  <si>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</si>
  <si>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</si>
  <si>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</si>
  <si>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</si>
  <si>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</si>
  <si>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</si>
  <si>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</si>
  <si>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</si>
  <si>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</si>
  <si>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</si>
  <si>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</si>
  <si>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</si>
  <si>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</si>
  <si>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</si>
  <si>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</si>
  <si>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</si>
  <si>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</si>
  <si>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</si>
  <si>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</si>
  <si>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</si>
  <si>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</si>
  <si>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</si>
  <si>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</si>
  <si>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</si>
  <si>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</si>
  <si>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</si>
  <si>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</si>
  <si>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</si>
  <si>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</si>
  <si>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</si>
  <si>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</si>
  <si>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</si>
  <si>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</si>
  <si>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</si>
  <si>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</si>
  <si>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</si>
  <si>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</si>
  <si>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</si>
  <si>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</si>
  <si>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</si>
  <si>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</si>
  <si>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</si>
  <si>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</si>
  <si>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</si>
  <si>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</si>
  <si>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</si>
  <si>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</si>
  <si>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</si>
  <si>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</si>
  <si>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</si>
  <si>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</si>
  <si>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</si>
  <si>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</si>
  <si>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</si>
  <si>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</si>
  <si>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</si>
  <si>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</si>
  <si>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</si>
  <si>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</si>
  <si>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</si>
  <si>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</si>
  <si>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</si>
  <si>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</si>
  <si>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</si>
  <si>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</si>
  <si>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</si>
  <si>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</si>
  <si>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</si>
  <si>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</si>
  <si>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</si>
  <si>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</si>
  <si>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</si>
  <si>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</si>
  <si>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</si>
  <si>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</si>
  <si>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</si>
  <si>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</si>
  <si>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</si>
  <si>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</si>
  <si>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</si>
  <si>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</si>
  <si>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</si>
  <si>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</si>
  <si>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</si>
  <si>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</si>
  <si>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</si>
  <si>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</si>
  <si>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</si>
  <si>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</si>
  <si>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</si>
  <si>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</si>
  <si>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</si>
  <si>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</si>
  <si>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</si>
  <si>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</si>
  <si>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</si>
  <si>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</si>
  <si>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</si>
  <si>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</si>
  <si>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</si>
  <si>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</si>
  <si>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</si>
  <si>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</si>
  <si>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</si>
  <si>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</si>
  <si>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</si>
  <si>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</si>
  <si>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</si>
  <si>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</si>
  <si>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</si>
  <si>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</si>
  <si>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</si>
  <si>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</si>
  <si>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</si>
  <si>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</si>
  <si>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</si>
  <si>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</si>
  <si>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</si>
  <si>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</si>
  <si>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</si>
  <si>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</si>
  <si>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</si>
  <si>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</si>
  <si>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</si>
  <si>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</si>
  <si>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</si>
  <si>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</si>
  <si>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</si>
  <si>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</si>
  <si>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</si>
  <si>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</si>
  <si>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</si>
  <si>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</si>
  <si>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</si>
  <si>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</si>
  <si>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</si>
  <si>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</si>
  <si>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</si>
  <si>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</si>
  <si>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</si>
  <si>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</si>
  <si>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</si>
  <si>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</si>
  <si>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</si>
  <si>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</si>
  <si>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</si>
  <si>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</si>
  <si>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</si>
  <si>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</si>
  <si>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</si>
  <si>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</si>
  <si>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</si>
  <si>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</si>
  <si>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</si>
  <si>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</si>
  <si>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</si>
  <si>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</si>
  <si>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</si>
  <si>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</si>
  <si>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</si>
  <si>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</si>
  <si>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</si>
  <si>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</si>
  <si>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</si>
  <si>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</si>
  <si>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</si>
  <si>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</si>
  <si>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</si>
  <si>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</si>
  <si>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</si>
  <si>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</si>
  <si>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</si>
  <si>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</si>
  <si>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</si>
  <si>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</si>
  <si>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</si>
  <si>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</si>
  <si>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</si>
  <si>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</si>
  <si>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</si>
  <si>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</si>
  <si>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</si>
  <si>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</si>
  <si>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</si>
  <si>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</si>
  <si>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</si>
  <si>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</si>
  <si>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</si>
  <si>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</si>
  <si>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</si>
  <si>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</si>
  <si>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</si>
  <si>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</si>
  <si>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</si>
  <si>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</si>
  <si>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</si>
  <si>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</si>
  <si>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</si>
  <si>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</si>
  <si>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</si>
  <si>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</si>
  <si>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</si>
  <si>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</si>
  <si>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</si>
  <si>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</si>
  <si>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</si>
  <si>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</si>
  <si>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</si>
  <si>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</si>
  <si>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</si>
  <si>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</si>
  <si>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</si>
  <si>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</si>
  <si>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</si>
  <si>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</si>
  <si>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</si>
  <si>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</si>
  <si>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</si>
  <si>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</si>
  <si>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</si>
  <si>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</si>
  <si>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</si>
  <si>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</si>
  <si>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</si>
  <si>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</si>
  <si>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</si>
  <si>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</si>
  <si>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</si>
  <si>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</si>
  <si>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</si>
  <si>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</si>
  <si>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</si>
  <si>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</si>
  <si>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</si>
  <si>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</si>
  <si>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</si>
  <si>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</si>
  <si>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</si>
  <si>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</si>
  <si>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</si>
  <si>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</si>
  <si>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</si>
  <si>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</si>
  <si>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</si>
  <si>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</si>
  <si>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</si>
  <si>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</si>
  <si>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</si>
  <si>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</si>
  <si>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</si>
  <si>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</si>
  <si>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</si>
  <si>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</si>
  <si>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</si>
  <si>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</si>
  <si>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</si>
  <si>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</si>
  <si>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</si>
  <si>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</si>
  <si>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</si>
  <si>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</si>
  <si>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</si>
  <si>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</si>
  <si>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</si>
  <si>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</si>
  <si>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</si>
  <si>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</si>
  <si>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</si>
  <si>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</si>
  <si>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</si>
  <si>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</si>
  <si>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</si>
  <si>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</si>
  <si>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</si>
  <si>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</si>
  <si>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</si>
  <si>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</si>
  <si>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</si>
  <si>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</si>
  <si>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</si>
  <si>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</si>
  <si>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</si>
  <si>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</si>
  <si>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</si>
  <si>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</si>
  <si>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</si>
  <si>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</si>
  <si>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</si>
  <si>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</si>
  <si>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</si>
  <si>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</si>
  <si>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</si>
  <si>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</si>
  <si>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</si>
  <si>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</si>
  <si>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</si>
  <si>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</si>
  <si>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</si>
  <si>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</si>
  <si>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</si>
  <si>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</si>
  <si>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</si>
  <si>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</si>
  <si>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</si>
  <si>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</si>
  <si>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</si>
  <si>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</si>
  <si>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</si>
  <si>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</si>
  <si>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</si>
  <si>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</si>
  <si>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</si>
  <si>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</si>
  <si>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</si>
  <si>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</si>
  <si>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</si>
  <si>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</si>
  <si>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</si>
  <si>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</si>
  <si>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</si>
  <si>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</si>
  <si>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</si>
  <si>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</si>
  <si>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</si>
  <si>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</si>
  <si>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</si>
  <si>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</si>
  <si>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</si>
  <si>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</si>
  <si>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</si>
  <si>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</si>
  <si>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</si>
  <si>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</si>
  <si>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</si>
  <si>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</si>
  <si>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</si>
  <si>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</si>
  <si>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</si>
  <si>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</si>
  <si>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</si>
  <si>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</si>
  <si>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</si>
  <si>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</si>
  <si>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</si>
  <si>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</si>
  <si>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</si>
  <si>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</si>
  <si>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</si>
  <si>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</si>
  <si>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</si>
  <si>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</si>
  <si>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</si>
  <si>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</si>
  <si>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</si>
  <si>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</si>
  <si>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</si>
  <si>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</si>
  <si>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</si>
  <si>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</si>
  <si>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</si>
  <si>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</si>
  <si>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</si>
  <si>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</si>
  <si>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</si>
  <si>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</si>
  <si>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</si>
  <si>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</si>
  <si>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</si>
  <si>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</si>
  <si>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</si>
  <si>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</si>
  <si>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</si>
  <si>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</si>
  <si>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</si>
  <si>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</si>
  <si>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</si>
  <si>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</si>
  <si>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</si>
  <si>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</si>
  <si>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</si>
  <si>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</si>
  <si>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</si>
  <si>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</si>
  <si>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</si>
  <si>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</si>
  <si>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</si>
  <si>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</si>
  <si>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</si>
  <si>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</si>
  <si>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</si>
  <si>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</si>
  <si>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</si>
  <si>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</si>
  <si>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</si>
  <si>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</si>
  <si>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</si>
  <si>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</si>
  <si>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</si>
  <si>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</si>
  <si>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</si>
  <si>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</si>
  <si>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</si>
  <si>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</si>
  <si>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</si>
  <si>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</si>
  <si>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</si>
  <si>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</si>
  <si>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</si>
  <si>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</si>
  <si>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</si>
  <si>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</si>
  <si>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</si>
  <si>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</si>
  <si>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</si>
  <si>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</si>
  <si>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</si>
  <si>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</si>
  <si>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</si>
  <si>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</si>
  <si>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</si>
  <si>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</si>
  <si>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</si>
  <si>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</si>
  <si>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</si>
  <si>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</si>
  <si>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</si>
  <si>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</si>
  <si>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</si>
  <si>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</si>
  <si>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</si>
  <si>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</si>
  <si>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</si>
  <si>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</si>
  <si>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</si>
  <si>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</si>
  <si>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</si>
  <si>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</si>
  <si>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</si>
  <si>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</si>
  <si>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</si>
  <si>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</si>
  <si>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</si>
  <si>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</si>
  <si>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</si>
  <si>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</si>
  <si>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</si>
  <si>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</si>
  <si>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</si>
  <si>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</si>
  <si>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</si>
  <si>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</si>
  <si>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</si>
  <si>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</si>
  <si>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</si>
  <si>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</si>
  <si>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</si>
  <si>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</si>
  <si>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</si>
  <si>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</si>
  <si>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</si>
  <si>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</si>
  <si>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</si>
  <si>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</si>
  <si>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</si>
  <si>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</si>
  <si>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</si>
  <si>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</si>
  <si>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</si>
  <si>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</si>
  <si>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</si>
  <si>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</si>
  <si>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</si>
  <si>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</si>
  <si>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</si>
  <si>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</si>
  <si>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</si>
  <si>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</si>
  <si>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</si>
  <si>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</si>
  <si>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</si>
  <si>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</si>
  <si>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</si>
  <si>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</si>
  <si>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</si>
  <si>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</si>
  <si>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</si>
  <si>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</si>
  <si>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</si>
  <si>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</si>
  <si>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</si>
  <si>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</si>
  <si>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</si>
  <si>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</si>
  <si>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</si>
  <si>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</si>
  <si>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</si>
  <si>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</si>
  <si>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</si>
  <si>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</si>
  <si>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</si>
  <si>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</si>
  <si>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</si>
  <si>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</si>
  <si>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</si>
  <si>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</si>
  <si>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</si>
  <si>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</si>
  <si>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</si>
  <si>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</si>
  <si>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</si>
  <si>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</si>
  <si>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</si>
  <si>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</si>
  <si>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</si>
  <si>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</si>
  <si>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</si>
  <si>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</si>
  <si>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</si>
  <si>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</si>
  <si>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</si>
  <si>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</si>
  <si>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</si>
  <si>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</si>
  <si>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</si>
  <si>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</si>
  <si>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</si>
  <si>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</si>
  <si>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</si>
  <si>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</si>
  <si>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</si>
  <si>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</si>
  <si>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</si>
  <si>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</si>
  <si>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</si>
  <si>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</si>
  <si>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</si>
  <si>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</si>
  <si>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</si>
  <si>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</si>
  <si>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</si>
  <si>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</si>
  <si>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</si>
  <si>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</si>
  <si>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</si>
  <si>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</si>
  <si>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</si>
  <si>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</si>
  <si>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</si>
  <si>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</si>
  <si>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</si>
  <si>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</si>
  <si>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</si>
  <si>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</si>
  <si>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</si>
  <si>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</si>
  <si>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</si>
  <si>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</si>
  <si>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</si>
  <si>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</si>
  <si>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</si>
  <si>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</si>
  <si>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</si>
  <si>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</si>
  <si>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</si>
  <si>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</si>
  <si>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</si>
  <si>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</si>
  <si>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</si>
  <si>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</si>
  <si>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</si>
  <si>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</si>
  <si>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</si>
  <si>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</si>
  <si>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</si>
  <si>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</si>
  <si>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</si>
  <si>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</si>
  <si>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</si>
  <si>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</si>
  <si>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</si>
  <si>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</si>
  <si>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</si>
  <si>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</si>
  <si>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</si>
  <si>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</si>
  <si>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</si>
  <si>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</si>
  <si>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</si>
  <si>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</si>
  <si>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</si>
  <si>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</si>
  <si>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</si>
  <si>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</si>
  <si>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</si>
  <si>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</si>
  <si>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</si>
  <si>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</si>
  <si>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</si>
  <si>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</si>
  <si>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</si>
  <si>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</si>
  <si>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</si>
  <si>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</si>
  <si>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</si>
  <si>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</si>
  <si>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</si>
  <si>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</si>
  <si>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</si>
  <si>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</si>
  <si>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</si>
  <si>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</si>
  <si>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</si>
  <si>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</si>
  <si>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</si>
  <si>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</si>
  <si>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</si>
  <si>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</si>
  <si>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</si>
  <si>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</si>
  <si>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</si>
  <si>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</si>
  <si>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</si>
  <si>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</si>
  <si>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</si>
  <si>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</si>
  <si>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</si>
  <si>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</si>
  <si>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</si>
  <si>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</si>
  <si>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</si>
  <si>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</si>
  <si>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</si>
  <si>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</si>
  <si>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</si>
  <si>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</si>
  <si>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</si>
  <si>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</si>
  <si>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</si>
  <si>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</si>
  <si>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</si>
  <si>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</si>
  <si>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</si>
  <si>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</si>
  <si>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</si>
  <si>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</si>
  <si>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</si>
  <si>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</si>
  <si>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</si>
  <si>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</si>
  <si>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</si>
  <si>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</si>
  <si>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</si>
  <si>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</si>
  <si>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</si>
  <si>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</si>
  <si>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</si>
  <si>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</si>
  <si>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</si>
  <si>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</si>
  <si>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</si>
  <si>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</si>
  <si>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</si>
  <si>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</si>
  <si>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</si>
  <si>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</si>
  <si>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</si>
  <si>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</si>
  <si>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</si>
  <si>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</si>
  <si>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</si>
  <si>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</si>
  <si>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</si>
  <si>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</si>
  <si>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</si>
  <si>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</si>
  <si>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</si>
  <si>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</si>
  <si>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</si>
  <si>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</si>
  <si>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</si>
  <si>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</si>
  <si>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</si>
  <si>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</si>
  <si>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</si>
  <si>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</si>
  <si>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</si>
  <si>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</si>
  <si>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</si>
  <si>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</si>
  <si>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</si>
  <si>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</si>
  <si>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</si>
  <si>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</si>
  <si>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</si>
  <si>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</si>
  <si>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</si>
  <si>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</si>
  <si>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</si>
  <si>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</si>
  <si>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</si>
  <si>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</si>
  <si>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</si>
  <si>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</si>
  <si>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</si>
  <si>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</si>
  <si>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</si>
  <si>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</si>
  <si>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</si>
  <si>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</si>
  <si>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</si>
  <si>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</si>
  <si>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</si>
  <si>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</si>
  <si>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</si>
  <si>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</si>
  <si>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</si>
  <si>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</si>
  <si>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</si>
  <si>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</si>
  <si>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</si>
  <si>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</si>
  <si>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</si>
  <si>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</si>
  <si>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</si>
  <si>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</si>
  <si>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</si>
  <si>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</si>
  <si>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</si>
  <si>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</si>
  <si>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</si>
  <si>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</si>
  <si>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</si>
  <si>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</si>
  <si>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</si>
  <si>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</si>
  <si>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</si>
  <si>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</si>
  <si>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</si>
  <si>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</si>
  <si>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</si>
  <si>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</si>
  <si>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</si>
  <si>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</si>
  <si>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</si>
  <si>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</si>
  <si>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</si>
  <si>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</si>
  <si>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</si>
  <si>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</si>
  <si>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</si>
  <si>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</si>
  <si>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</si>
  <si>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</si>
  <si>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</si>
  <si>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</si>
  <si>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</si>
  <si>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</si>
  <si>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</si>
  <si>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</si>
  <si>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</si>
  <si>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</si>
  <si>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</si>
  <si>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</si>
  <si>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</si>
  <si>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</si>
  <si>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</si>
  <si>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</si>
  <si>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</si>
  <si>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</si>
  <si>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</si>
  <si>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</si>
  <si>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</si>
  <si>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</si>
  <si>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</si>
  <si>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</si>
  <si>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</si>
  <si>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</si>
  <si>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</si>
  <si>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</si>
  <si>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</si>
  <si>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</si>
  <si>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</si>
  <si>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</si>
  <si>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</si>
  <si>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</si>
  <si>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</si>
  <si>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</si>
  <si>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</si>
  <si>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</si>
  <si>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</si>
  <si>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</si>
  <si>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</si>
  <si>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</si>
  <si>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</si>
  <si>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</si>
  <si>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</si>
  <si>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</si>
  <si>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</si>
  <si>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</si>
  <si>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</si>
  <si>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</si>
  <si>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</si>
  <si>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</si>
  <si>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</si>
  <si>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</si>
  <si>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</si>
  <si>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</si>
  <si>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</si>
  <si>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</si>
  <si>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</si>
  <si>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</si>
  <si>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</si>
  <si>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</si>
  <si>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</si>
  <si>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</si>
  <si>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</si>
  <si>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</si>
  <si>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</si>
  <si>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</si>
  <si>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</si>
  <si>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</si>
  <si>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</si>
  <si>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</si>
  <si>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</si>
  <si>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</si>
  <si>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</si>
  <si>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</si>
  <si>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</si>
  <si>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</si>
  <si>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</si>
  <si>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</si>
  <si>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</si>
  <si>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</si>
  <si>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</si>
  <si>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</si>
  <si>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</si>
  <si>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</si>
  <si>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</si>
  <si>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</si>
  <si>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</si>
  <si>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</si>
  <si>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</si>
  <si>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</si>
  <si>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</si>
  <si>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</si>
  <si>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</si>
  <si>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</si>
  <si>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</si>
  <si>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</si>
  <si>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</si>
  <si>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</si>
  <si>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</si>
  <si>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</si>
  <si>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</si>
  <si>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</si>
  <si>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</si>
  <si>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</si>
  <si>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</si>
  <si>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</si>
  <si>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</si>
  <si>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</si>
  <si>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</si>
  <si>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</si>
  <si>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</si>
  <si>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</si>
  <si>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</si>
  <si>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</si>
  <si>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</si>
  <si>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</si>
  <si>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</si>
  <si>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</si>
  <si>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</si>
  <si>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</si>
  <si>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</si>
  <si>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</si>
  <si>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</si>
  <si>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</si>
  <si>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</si>
  <si>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</si>
  <si>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</si>
  <si>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</si>
  <si>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</si>
  <si>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</si>
  <si>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</si>
  <si>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</si>
  <si>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</si>
  <si>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</si>
  <si>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</si>
  <si>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</si>
  <si>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</si>
  <si>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</si>
  <si>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</si>
  <si>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</si>
  <si>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</si>
  <si>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</si>
  <si>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</si>
  <si>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</si>
  <si>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</si>
  <si>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</si>
  <si>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</si>
  <si>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</si>
  <si>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</si>
  <si>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</si>
  <si>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</si>
  <si>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</si>
  <si>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</si>
  <si>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</si>
  <si>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</si>
  <si>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</si>
  <si>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</si>
  <si>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</si>
  <si>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</si>
  <si>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</si>
  <si>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</si>
  <si>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</si>
  <si>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</si>
  <si>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</si>
  <si>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</si>
  <si>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</si>
  <si>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</si>
  <si>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</si>
  <si>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</si>
  <si>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</si>
  <si>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</si>
  <si>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</si>
  <si>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</si>
  <si>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</si>
  <si>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</si>
  <si>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</si>
  <si>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</si>
  <si>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</si>
  <si>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</si>
  <si>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</si>
  <si>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</si>
  <si>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</si>
  <si>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</si>
  <si>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</si>
  <si>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</si>
  <si>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</si>
  <si>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</si>
  <si>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</si>
  <si>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</si>
  <si>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</si>
  <si>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</si>
  <si>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</si>
  <si>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</si>
  <si>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</si>
  <si>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</si>
  <si>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</si>
  <si>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</si>
  <si>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</si>
  <si>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</si>
  <si>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</si>
  <si>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</si>
  <si>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</si>
  <si>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</si>
  <si>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</si>
  <si>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</si>
  <si>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</si>
  <si>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</si>
  <si>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</si>
  <si>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</si>
  <si>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</si>
  <si>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</si>
  <si>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</si>
  <si>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</si>
  <si>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</si>
  <si>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</si>
  <si>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</si>
  <si>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</si>
  <si>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</si>
  <si>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</si>
  <si>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</si>
  <si>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</si>
  <si>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</si>
  <si>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</si>
  <si>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</si>
  <si>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</si>
  <si>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</si>
  <si>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</si>
  <si>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</si>
  <si>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</si>
  <si>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</si>
  <si>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</si>
  <si>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</si>
  <si>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</si>
  <si>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</si>
  <si>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</si>
  <si>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</si>
  <si>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</si>
  <si>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</si>
  <si>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</si>
  <si>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</si>
  <si>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</si>
  <si>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</si>
  <si>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</si>
  <si>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</si>
  <si>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</si>
  <si>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</si>
  <si>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</si>
  <si>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</si>
  <si>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</si>
  <si>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</si>
  <si>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</si>
  <si>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</si>
  <si>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</si>
  <si>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</si>
  <si>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</si>
  <si>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</si>
  <si>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</si>
  <si>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</si>
  <si>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</si>
  <si>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</si>
  <si>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</si>
  <si>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</si>
  <si>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</si>
  <si>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</si>
  <si>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</si>
  <si>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</si>
  <si>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</si>
  <si>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</si>
  <si>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</si>
  <si>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</si>
  <si>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</si>
  <si>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</si>
  <si>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</si>
  <si>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</si>
  <si>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</si>
  <si>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</si>
  <si>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</si>
  <si>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</si>
  <si>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</si>
  <si>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</si>
  <si>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</si>
  <si>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</si>
  <si>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</si>
  <si>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</si>
  <si>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</si>
  <si>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</si>
  <si>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</si>
  <si>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</si>
  <si>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</si>
  <si>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</si>
  <si>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</si>
  <si>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</si>
  <si>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</si>
  <si>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</si>
  <si>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</si>
  <si>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</si>
  <si>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</si>
  <si>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</si>
  <si>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</si>
  <si>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</si>
  <si>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</si>
  <si>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</si>
  <si>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</si>
  <si>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</si>
  <si>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</si>
  <si>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</si>
  <si>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</si>
  <si>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</si>
  <si>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</si>
  <si>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</si>
  <si>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</si>
  <si>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</si>
  <si>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</si>
  <si>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</si>
  <si>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</si>
  <si>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</si>
  <si>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</si>
  <si>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</si>
  <si>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</si>
  <si>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</si>
  <si>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</si>
  <si>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</si>
  <si>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</si>
  <si>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</si>
  <si>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</si>
  <si>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</si>
  <si>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</si>
  <si>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</si>
  <si>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</si>
  <si>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</si>
  <si>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</si>
  <si>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</si>
  <si>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</si>
  <si>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</si>
  <si>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</si>
  <si>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</si>
  <si>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</si>
  <si>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</si>
  <si>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</si>
  <si>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</si>
  <si>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</si>
  <si>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</si>
  <si>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</si>
  <si>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</si>
  <si>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</si>
  <si>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</si>
  <si>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</si>
  <si>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</si>
  <si>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</si>
  <si>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</si>
  <si>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</si>
  <si>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</si>
  <si>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</si>
  <si>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</si>
  <si>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</si>
  <si>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</si>
  <si>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</si>
  <si>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</si>
  <si>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</si>
  <si>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</si>
  <si>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</si>
  <si>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</si>
  <si>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</si>
  <si>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</si>
  <si>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</si>
  <si>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</si>
  <si>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</si>
  <si>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</si>
  <si>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</si>
  <si>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</si>
  <si>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</si>
  <si>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</si>
  <si>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</si>
  <si>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</si>
  <si>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</si>
  <si>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</si>
  <si>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</si>
  <si>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</si>
  <si>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</si>
  <si>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</si>
  <si>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</si>
  <si>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</si>
  <si>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</si>
  <si>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</si>
  <si>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</si>
  <si>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</si>
  <si>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</si>
  <si>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</si>
  <si>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</si>
  <si>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</si>
  <si>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</si>
  <si>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</si>
  <si>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</si>
  <si>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</si>
  <si>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</si>
  <si>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</si>
  <si>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</si>
  <si>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</si>
  <si>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</si>
  <si>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</si>
  <si>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</si>
  <si>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</si>
  <si>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</si>
  <si>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</si>
  <si>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</si>
  <si>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</si>
  <si>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</si>
  <si>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</si>
  <si>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</si>
  <si>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</si>
  <si>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</si>
  <si>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</si>
  <si>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</si>
  <si>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</si>
  <si>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</si>
  <si>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</si>
  <si>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</si>
  <si>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</si>
  <si>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</si>
  <si>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</si>
  <si>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</si>
  <si>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</si>
  <si>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</si>
  <si>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</si>
  <si>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</si>
  <si>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</si>
  <si>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</si>
  <si>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</si>
  <si>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</si>
  <si>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</si>
  <si>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</si>
  <si>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</si>
  <si>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</si>
  <si>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</si>
  <si>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</si>
  <si>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</si>
  <si>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</si>
  <si>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</si>
  <si>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</si>
  <si>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</si>
  <si>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</si>
  <si>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</si>
  <si>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</si>
  <si>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</si>
  <si>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</si>
  <si>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</si>
  <si>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</si>
  <si>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</si>
  <si>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</si>
  <si>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</si>
  <si>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</si>
  <si>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</si>
  <si>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</si>
  <si>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</si>
  <si>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</si>
  <si>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</si>
  <si>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</si>
  <si>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</si>
  <si>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</si>
  <si>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</si>
  <si>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</si>
  <si>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</si>
  <si>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</si>
  <si>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</si>
  <si>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</si>
  <si>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</si>
  <si>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</si>
  <si>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</si>
  <si>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</si>
  <si>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</si>
  <si>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</si>
  <si>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</si>
  <si>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</si>
  <si>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</si>
  <si>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</si>
  <si>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</si>
  <si>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</si>
  <si>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</si>
  <si>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</si>
  <si>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</si>
  <si>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</si>
  <si>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</si>
  <si>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</si>
  <si>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</si>
  <si>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</si>
  <si>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</si>
  <si>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</si>
  <si>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</si>
  <si>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</si>
  <si>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</si>
  <si>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</si>
  <si>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</si>
  <si>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</si>
  <si>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</si>
  <si>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</si>
  <si>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</si>
  <si>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</si>
  <si>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</si>
  <si>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</si>
  <si>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</si>
  <si>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</si>
  <si>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</si>
  <si>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</si>
  <si>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</si>
  <si>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</si>
  <si>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</si>
  <si>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</si>
  <si>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</si>
  <si>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</si>
  <si>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</si>
  <si>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</si>
  <si>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</si>
  <si>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</si>
  <si>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</si>
  <si>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</si>
  <si>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</si>
  <si>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</si>
  <si>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</si>
  <si>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</si>
  <si>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</si>
  <si>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</si>
  <si>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</si>
  <si>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</si>
  <si>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</si>
  <si>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</si>
  <si>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</si>
  <si>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</si>
  <si>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</si>
  <si>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</si>
  <si>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</si>
  <si>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</si>
  <si>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</si>
  <si>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</si>
  <si>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</si>
  <si>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</si>
  <si>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</si>
  <si>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</si>
  <si>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</si>
  <si>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</si>
  <si>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</si>
  <si>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</si>
  <si>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</si>
  <si>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</si>
  <si>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</si>
  <si>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</si>
  <si>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</si>
  <si>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</si>
  <si>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</si>
  <si>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</si>
  <si>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</si>
  <si>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</si>
  <si>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</si>
  <si>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</si>
  <si>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</si>
  <si>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</si>
  <si>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</si>
  <si>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</si>
  <si>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</si>
  <si>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</si>
  <si>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</si>
  <si>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</si>
  <si>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</si>
  <si>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</si>
  <si>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</si>
  <si>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</si>
  <si>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</si>
  <si>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</si>
  <si>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</si>
  <si>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</si>
  <si>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</si>
  <si>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</si>
  <si>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</si>
  <si>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</si>
  <si>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</si>
  <si>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</si>
  <si>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</si>
  <si>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</si>
  <si>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</si>
  <si>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</si>
  <si>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</si>
  <si>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</si>
  <si>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</si>
  <si>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</si>
  <si>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</si>
  <si>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</si>
  <si>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</si>
  <si>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</si>
  <si>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</si>
  <si>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</si>
  <si>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</si>
  <si>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</si>
  <si>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</si>
  <si>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</si>
  <si>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</si>
  <si>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</si>
  <si>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</si>
  <si>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</si>
  <si>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</si>
  <si>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</si>
  <si>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</si>
  <si>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</si>
  <si>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</si>
  <si>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</si>
  <si>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</si>
  <si>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</si>
  <si>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</si>
  <si>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</si>
  <si>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</si>
  <si>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</si>
  <si>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</si>
  <si>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</si>
  <si>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</si>
  <si>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</si>
  <si>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</si>
  <si>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</si>
  <si>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</si>
  <si>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</si>
  <si>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</si>
  <si>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</si>
  <si>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</si>
  <si>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</si>
  <si>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</si>
  <si>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</si>
  <si>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</si>
  <si>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</si>
  <si>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</si>
  <si>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</si>
  <si>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</si>
  <si>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</si>
  <si>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</si>
  <si>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</si>
  <si>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</si>
  <si>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</si>
  <si>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</si>
  <si>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</si>
  <si>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</si>
  <si>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</si>
  <si>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</si>
  <si>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</si>
  <si>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</si>
  <si>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</si>
  <si>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</si>
  <si>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</si>
  <si>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</si>
  <si>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</si>
  <si>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</si>
  <si>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</si>
  <si>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</si>
  <si>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</si>
  <si>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</si>
  <si>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</si>
  <si>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</si>
  <si>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</si>
  <si>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</si>
  <si>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</si>
  <si>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</si>
  <si>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</si>
  <si>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</si>
  <si>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</si>
  <si>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</si>
  <si>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</si>
  <si>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</si>
  <si>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</si>
  <si>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</si>
  <si>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</si>
  <si>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</si>
  <si>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</si>
  <si>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</si>
  <si>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</si>
  <si>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</si>
  <si>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</si>
  <si>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</si>
  <si>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</si>
  <si>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</si>
  <si>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</si>
  <si>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</si>
  <si>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</si>
  <si>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</si>
  <si>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</si>
  <si>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</si>
  <si>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</si>
  <si>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</si>
  <si>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</si>
  <si>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</si>
  <si>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</si>
  <si>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</si>
  <si>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</si>
  <si>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</si>
  <si>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</si>
  <si>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</si>
  <si>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</si>
  <si>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</si>
  <si>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</si>
  <si>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</si>
  <si>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</si>
  <si>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</si>
  <si>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</si>
  <si>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</si>
  <si>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</si>
  <si>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</si>
  <si>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</si>
  <si>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</si>
  <si>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</si>
  <si>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</si>
  <si>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</si>
  <si>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</si>
  <si>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</si>
  <si>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</si>
  <si>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</si>
  <si>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</si>
  <si>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</si>
  <si>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</si>
  <si>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</si>
  <si>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</si>
  <si>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</si>
  <si>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</si>
  <si>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</si>
  <si>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</si>
  <si>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</si>
  <si>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</si>
  <si>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</si>
  <si>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</si>
  <si>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</si>
  <si>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</si>
  <si>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</si>
  <si>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</si>
  <si>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</si>
  <si>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</si>
  <si>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</si>
  <si>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</si>
  <si>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</si>
  <si>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</si>
  <si>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</si>
  <si>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</si>
  <si>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</si>
  <si>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</si>
  <si>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</si>
  <si>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</si>
  <si>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</si>
  <si>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</si>
  <si>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</si>
  <si>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</si>
  <si>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</si>
  <si>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</si>
  <si>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</si>
  <si>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</si>
  <si>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</si>
  <si>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</si>
  <si>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</si>
  <si>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</si>
  <si>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</si>
  <si>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</si>
  <si>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</si>
  <si>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</si>
  <si>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</si>
  <si>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</si>
  <si>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</si>
  <si>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</si>
  <si>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</si>
  <si>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</si>
  <si>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</si>
  <si>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</si>
  <si>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</si>
  <si>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</si>
  <si>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</si>
  <si>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</si>
  <si>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</si>
  <si>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</si>
  <si>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</si>
  <si>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</si>
  <si>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</si>
  <si>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</si>
  <si>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</si>
  <si>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</si>
  <si>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</si>
  <si>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</si>
  <si>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</si>
  <si>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</si>
  <si>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</si>
  <si>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</si>
  <si>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</si>
  <si>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</si>
  <si>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</si>
  <si>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</si>
  <si>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</si>
  <si>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</si>
  <si>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</si>
  <si>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</si>
  <si>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</si>
  <si>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</si>
  <si>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</si>
  <si>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</si>
  <si>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</si>
  <si>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</si>
  <si>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</si>
  <si>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</si>
  <si>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</si>
  <si>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</si>
  <si>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</si>
  <si>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</si>
  <si>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</si>
  <si>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</si>
  <si>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</si>
  <si>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</si>
  <si>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</si>
  <si>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</si>
  <si>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</si>
  <si>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</si>
  <si>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</si>
  <si>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</si>
  <si>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</si>
  <si>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</si>
  <si>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</si>
  <si>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</si>
  <si>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</si>
  <si>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</si>
  <si>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</si>
  <si>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</si>
  <si>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</si>
  <si>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</si>
  <si>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</si>
  <si>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</si>
  <si>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</si>
  <si>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</si>
  <si>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</si>
  <si>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</si>
  <si>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</si>
  <si>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</si>
  <si>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</si>
  <si>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</si>
  <si>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</si>
  <si>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</si>
  <si>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</si>
  <si>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</si>
  <si>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</si>
  <si>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</si>
  <si>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</si>
  <si>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</si>
  <si>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</si>
  <si>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</si>
  <si>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</si>
  <si>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</si>
  <si>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</si>
  <si>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</si>
  <si>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</si>
  <si>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</si>
  <si>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</si>
  <si>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</si>
  <si>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</si>
  <si>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</si>
  <si>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</si>
  <si>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</si>
  <si>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</si>
  <si>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</si>
  <si>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</si>
  <si>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</si>
  <si>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</si>
  <si>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</si>
  <si>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</si>
  <si>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</si>
  <si>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</si>
  <si>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</si>
  <si>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</si>
  <si>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</si>
  <si>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</si>
  <si>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</si>
  <si>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</si>
  <si>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</si>
  <si>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</si>
  <si>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</si>
  <si>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</si>
  <si>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</si>
  <si>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</si>
  <si>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</si>
  <si>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</si>
  <si>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</si>
  <si>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</si>
  <si>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</si>
  <si>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</si>
  <si>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</si>
  <si>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</si>
  <si>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</si>
  <si>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</si>
  <si>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</si>
  <si>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</si>
  <si>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</si>
  <si>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</si>
  <si>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</si>
  <si>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</si>
  <si>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</si>
  <si>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</si>
  <si>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</si>
  <si>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</si>
  <si>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</si>
  <si>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</si>
  <si>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</si>
  <si>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</si>
  <si>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</si>
  <si>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</si>
  <si>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</si>
  <si>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</si>
  <si>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</si>
  <si>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</si>
  <si>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</si>
  <si>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</si>
  <si>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</si>
  <si>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</si>
  <si>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</si>
  <si>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</si>
  <si>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</si>
  <si>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</si>
  <si>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</si>
  <si>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</si>
  <si>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</si>
  <si>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</si>
  <si>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</si>
  <si>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</si>
  <si>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</si>
  <si>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</si>
  <si>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</si>
  <si>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</si>
  <si>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</si>
  <si>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</si>
  <si>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</si>
  <si>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</si>
  <si>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</si>
  <si>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</si>
  <si>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</si>
  <si>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</si>
  <si>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</si>
  <si>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</si>
  <si>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</si>
  <si>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</si>
  <si>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</si>
  <si>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</si>
  <si>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</si>
  <si>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</si>
  <si>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</si>
  <si>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</si>
  <si>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</si>
  <si>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</si>
  <si>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</si>
  <si>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</si>
  <si>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</si>
  <si>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</si>
  <si>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</si>
  <si>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</si>
  <si>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</si>
  <si>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</si>
  <si>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</si>
  <si>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</si>
  <si>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</si>
  <si>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</si>
  <si>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</si>
  <si>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</si>
  <si>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</si>
  <si>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</si>
  <si>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</si>
  <si>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</si>
  <si>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</si>
  <si>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</si>
  <si>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</si>
  <si>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</si>
  <si>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</si>
  <si>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</si>
  <si>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</si>
  <si>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</si>
  <si>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</si>
  <si>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</si>
  <si>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</si>
  <si>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</si>
  <si>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</si>
  <si>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</si>
  <si>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</si>
  <si>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</si>
  <si>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</si>
  <si>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</si>
  <si>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</si>
  <si>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</si>
  <si>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</si>
  <si>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</si>
  <si>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</si>
  <si>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</si>
  <si>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</si>
  <si>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</si>
  <si>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</si>
  <si>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</si>
  <si>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</si>
  <si>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</si>
  <si>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</si>
  <si>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</si>
  <si>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</si>
  <si>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</si>
  <si>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</si>
  <si>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</si>
  <si>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</si>
  <si>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</si>
  <si>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</si>
  <si>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</si>
  <si>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</si>
  <si>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</si>
  <si>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</si>
  <si>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</si>
  <si>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</si>
  <si>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</si>
  <si>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</si>
  <si>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</si>
  <si>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</si>
  <si>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</si>
  <si>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</si>
  <si>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</si>
  <si>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</si>
  <si>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</si>
  <si>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</si>
  <si>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</si>
  <si>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</si>
  <si>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</si>
  <si>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</si>
  <si>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</si>
  <si>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</si>
  <si>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</si>
  <si>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</si>
  <si>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</si>
  <si>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</si>
  <si>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</si>
  <si>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</si>
  <si>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</si>
  <si>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</si>
  <si>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</si>
  <si>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</si>
  <si>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</si>
  <si>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</si>
  <si>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</si>
  <si>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</si>
  <si>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</si>
  <si>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</si>
  <si>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</si>
  <si>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</si>
  <si>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</si>
  <si>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</si>
  <si>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</si>
  <si>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</si>
  <si>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</si>
  <si>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</si>
  <si>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</si>
  <si>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</si>
  <si>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</si>
  <si>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</si>
  <si>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</si>
  <si>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</si>
  <si>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</si>
  <si>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</si>
  <si>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</si>
  <si>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</si>
  <si>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</si>
  <si>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</si>
  <si>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</si>
  <si>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</si>
  <si>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</si>
  <si>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</si>
  <si>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</si>
  <si>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</si>
  <si>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</si>
  <si>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</si>
  <si>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</si>
  <si>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</si>
  <si>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</si>
  <si>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Month</t>
  </si>
  <si>
    <t>Year</t>
  </si>
  <si>
    <t>NO COUPON</t>
  </si>
  <si>
    <t>EXPLORATORY DATA ANALYSIS</t>
  </si>
  <si>
    <t>BASIC STATISTICS</t>
  </si>
  <si>
    <t>MEAN</t>
  </si>
  <si>
    <t>MEDIAN</t>
  </si>
  <si>
    <t>COUNT</t>
  </si>
  <si>
    <t>MAX</t>
  </si>
  <si>
    <t>SUM</t>
  </si>
  <si>
    <t>Column1</t>
  </si>
  <si>
    <t>Column2</t>
  </si>
  <si>
    <t>UNIT PRICE:</t>
  </si>
  <si>
    <t>QUANTITY:</t>
  </si>
  <si>
    <t>TOTAL PRICE:</t>
  </si>
  <si>
    <t>ITEMS IN CART:</t>
  </si>
  <si>
    <t>TRENDS</t>
  </si>
  <si>
    <t>ORDERS BY MONTH</t>
  </si>
  <si>
    <t>MONTH</t>
  </si>
  <si>
    <t>ORDER COUNT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</si>
  <si>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</si>
  <si>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</si>
  <si>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</si>
  <si>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</si>
  <si>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</si>
  <si>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</si>
  <si>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</si>
  <si>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</si>
  <si>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</si>
  <si>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</si>
  <si>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</si>
  <si>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</si>
  <si>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REVENUE BY YEAR</t>
  </si>
  <si>
    <t>YEAR</t>
  </si>
  <si>
    <t>REVENUE</t>
  </si>
  <si>
    <t>REVENUE BY PRODUCT</t>
  </si>
  <si>
    <t>PRODUCT</t>
  </si>
  <si>
    <t>REVENUE BY REFERRAL SOURCE</t>
  </si>
  <si>
    <t>REFERRAL SOURCE</t>
  </si>
  <si>
    <t>ORDER STATUS BREAKDOWN</t>
  </si>
  <si>
    <t>ORDER STATUS</t>
  </si>
  <si>
    <t>Q1 (Quartile)</t>
  </si>
  <si>
    <t>Outlier Count</t>
  </si>
  <si>
    <t>OUTLIERS</t>
  </si>
  <si>
    <t>Q3  (Quartile)</t>
  </si>
  <si>
    <t>IQR (Interquartile Range)</t>
  </si>
  <si>
    <t>Lower Bound</t>
  </si>
  <si>
    <t>Upper Bound</t>
  </si>
  <si>
    <t>PRODUCTS WITH OUTLIER ORDERS</t>
  </si>
  <si>
    <t>Number</t>
  </si>
  <si>
    <t>Column3</t>
  </si>
  <si>
    <t>REVENUE  BY MONTH</t>
  </si>
  <si>
    <t>GRAND TOTAL</t>
  </si>
  <si>
    <t>TOTAL</t>
  </si>
  <si>
    <t>KEY OBSERVATIONS</t>
  </si>
  <si>
    <t>PARAMETER</t>
  </si>
  <si>
    <t>OBSERVATION</t>
  </si>
  <si>
    <t>Monthly Sales</t>
  </si>
  <si>
    <r>
      <t xml:space="preserve"> June was the peak month for orders (147 orders)</t>
    </r>
    <r>
      <rPr>
        <sz val="11"/>
        <color rgb="FF000000"/>
        <rFont val="Calibri"/>
        <family val="2"/>
        <scheme val="minor"/>
      </rPr>
      <t xml:space="preserve"> with a noticeable dip in September (73 orders) — nearly half the volume.</t>
    </r>
  </si>
  <si>
    <t>Yearly Revenue</t>
  </si>
  <si>
    <r>
      <t>2023 was the highest revenue year ($552,643)</t>
    </r>
    <r>
      <rPr>
        <sz val="11"/>
        <color rgb="FF000000"/>
        <rFont val="Calibri"/>
        <family val="2"/>
        <scheme val="minor"/>
      </rPr>
      <t>, with 2024 slightly lower at $480,236. 2025 is still ongoing.</t>
    </r>
  </si>
  <si>
    <t>Revenue by product</t>
  </si>
  <si>
    <r>
      <t>Chair and Printer led in total revenue (Approx. $195K each)</t>
    </r>
    <r>
      <rPr>
        <sz val="11"/>
        <color rgb="FF000000"/>
        <rFont val="Calibri"/>
        <family val="2"/>
        <scheme val="minor"/>
      </rPr>
      <t>, while Phone was the lowest earner at ~$151K. However, Laptop had the highest average order value at ~$1,110.</t>
    </r>
  </si>
  <si>
    <r>
      <t>Instagram was the top referral source</t>
    </r>
    <r>
      <rPr>
        <sz val="11"/>
        <color rgb="FF000000"/>
        <rFont val="Calibri"/>
        <family val="2"/>
        <scheme val="minor"/>
      </rPr>
      <t>, generating the most revenue at ~$275K — making it the most valuable customer acquisition channel.</t>
    </r>
  </si>
  <si>
    <t>Most profitable Referral source</t>
  </si>
  <si>
    <r>
      <t>41.4% of orders were either Cancelled or Returned (497 out of 1,200).</t>
    </r>
    <r>
      <rPr>
        <sz val="11"/>
        <color rgb="FF000000"/>
        <rFont val="Calibri"/>
        <family val="2"/>
        <scheme val="minor"/>
      </rPr>
      <t xml:space="preserve"> This is the most critical finding — nearly half of all orders never completed successfully.</t>
    </r>
  </si>
  <si>
    <t>Order status Report</t>
  </si>
  <si>
    <r>
      <t>8 outlier orders were identified</t>
    </r>
    <r>
      <rPr>
        <sz val="11"/>
        <color rgb="FF000000"/>
        <rFont val="Calibri"/>
        <family val="2"/>
        <scheme val="minor"/>
      </rPr>
      <t xml:space="preserve"> in TotalPrice using the IQR method, spread across Laptop, Monitor, Tablet, Chair and Printer — all high-quantity purchases at premium unit prices.</t>
    </r>
  </si>
  <si>
    <t>Outlier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</si>
</sst>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2" tint="-0.74999237037263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3" tint="-0.24997711111789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2" borderId="2" xfId="0" applyFont="1" applyFill="1" applyBorder="1"/>
    <xf numFmtId="2" fontId="0" fillId="3" borderId="0" xfId="0" applyNumberFormat="1" applyFill="1"/>
    <xf numFmtId="0" fontId="0" fillId="3" borderId="0" xfId="0" applyFill="1"/>
    <xf numFmtId="43" fontId="0" fillId="3" borderId="0" xfId="1" applyFont="1" applyFill="1"/>
    <xf numFmtId="0" fontId="8" fillId="0" borderId="0" xfId="0" applyFont="1"/>
    <xf numFmtId="2" fontId="4" fillId="2" borderId="3" xfId="0" applyNumberFormat="1" applyFont="1" applyFill="1" applyBorder="1"/>
    <xf numFmtId="0" fontId="0" fillId="0" borderId="0" xfId="0" applyAlignment="1">
      <alignment horizontal="left"/>
    </xf>
    <xf numFmtId="0" fontId="5" fillId="4" borderId="0" xfId="0" applyFont="1" applyFill="1"/>
    <xf numFmtId="0" fontId="5" fillId="4" borderId="0" xfId="0" applyFont="1" applyFill="1" applyAlignment="1">
      <alignment horizontal="right" vertical="center"/>
    </xf>
    <xf numFmtId="43" fontId="5" fillId="5" borderId="0" xfId="1" applyFont="1" applyFill="1"/>
    <xf numFmtId="43" fontId="10" fillId="5" borderId="0" xfId="1" applyFont="1" applyFill="1" applyAlignment="1">
      <alignment vertical="center"/>
    </xf>
    <xf numFmtId="0" fontId="5" fillId="5" borderId="0" xfId="0" applyFont="1" applyFill="1"/>
    <xf numFmtId="0" fontId="10" fillId="5" borderId="0" xfId="0" applyFont="1" applyFill="1" applyAlignment="1">
      <alignment vertical="center"/>
    </xf>
    <xf numFmtId="43" fontId="0" fillId="0" borderId="0" xfId="0" applyNumberFormat="1"/>
    <xf numFmtId="0" fontId="0" fillId="0" borderId="0" xfId="0"/>
    <xf numFmtId="0" fontId="9" fillId="0" borderId="0" xfId="0" applyFont="1" applyAlignment="1">
      <alignment horizontal="center"/>
    </xf>
    <xf numFmtId="0" fontId="12" fillId="0" borderId="0" xfId="0" applyFont="1"/>
    <xf numFmtId="43" fontId="0" fillId="0" borderId="0" xfId="1" applyFont="1"/>
    <xf numFmtId="0" fontId="9" fillId="0" borderId="0" xfId="0" applyFont="1"/>
    <xf numFmtId="0" fontId="0" fillId="0" borderId="0" xfId="0" applyFill="1" applyBorder="1"/>
    <xf numFmtId="0" fontId="5" fillId="6" borderId="0" xfId="0" applyFont="1" applyFill="1"/>
    <xf numFmtId="43" fontId="0" fillId="7" borderId="0" xfId="1" applyFont="1" applyFill="1"/>
    <xf numFmtId="0" fontId="0" fillId="7" borderId="0" xfId="0" applyFill="1"/>
    <xf numFmtId="43" fontId="0" fillId="7" borderId="0" xfId="0" applyNumberFormat="1" applyFill="1"/>
    <xf numFmtId="0" fontId="0" fillId="7" borderId="0" xfId="0" applyFill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left" vertical="center"/>
    </xf>
    <xf numFmtId="0" fontId="14" fillId="9" borderId="0" xfId="0" applyFont="1" applyFill="1" applyAlignment="1">
      <alignment horizontal="center" wrapText="1"/>
    </xf>
    <xf numFmtId="0" fontId="14" fillId="9" borderId="0" xfId="0" applyFont="1" applyFill="1" applyAlignment="1">
      <alignment wrapText="1"/>
    </xf>
    <xf numFmtId="0" fontId="7" fillId="3" borderId="0" xfId="0" applyFont="1" applyFill="1"/>
    <xf numFmtId="0" fontId="0" fillId="10" borderId="0" xfId="0" applyFill="1"/>
    <xf numFmtId="2" fontId="0" fillId="10" borderId="0" xfId="0" applyNumberFormat="1" applyFill="1"/>
  </cellXfs>
  <cellStyles count="2">
    <cellStyle name="Comma" xfId="1" builtinId="3"/>
    <cellStyle name="Normal" xfId="0" builtinId="0"/>
  </cellStyles>
  <dxfs count="4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</dxf>
    <dxf>
      <numFmt numFmtId="35" formatCode="_-* #,##0.00_-;\-* #,##0.00_-;_-* &quot;-&quot;??_-;_-@_-"/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0000"/>
        </patternFill>
      </fill>
    </dxf>
    <dxf>
      <border outline="0">
        <bottom style="thick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9" formatCode="dd/mm/yyyy"/>
      <alignment horizontal="center" textRotation="0" wrapText="0" indent="0" justifyLastLine="0" shrinkToFit="0" readingOrder="0"/>
    </dxf>
    <dxf>
      <numFmt numFmtId="19" formatCode="dd/mm/yyyy"/>
      <alignment horizontal="center" textRotation="0" wrapText="0" indent="0" justifyLastLine="0" shrinkToFit="0" readingOrder="0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AE7921-1358-4F43-BDB0-2506B0175A5A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A2432E-90DD-49A8-B36E-D366290D1FDF}" name="Sheet1" displayName="Sheet1" ref="A1:N1201" tableType="queryTable" totalsRowShown="0">
  <autoFilter ref="A1:N1201" xr:uid="{09A2432E-90DD-49A8-B36E-D366290D1FDF}"/>
  <tableColumns count="14">
    <tableColumn id="1" xr3:uid="{839FA176-1DE6-4DFB-8103-AB8112AB388F}" uniqueName="1" name="OrderID" queryTableFieldId="1" dataDxfId="45"/>
    <tableColumn id="2" xr3:uid="{5A4C5487-3394-4E83-930A-F7A4F19D74F5}" uniqueName="2" name="Date" queryTableFieldId="2"/>
    <tableColumn id="3" xr3:uid="{C07B834C-1B97-438C-BEAC-6A8323A37D1B}" uniqueName="3" name="CustomerID" queryTableFieldId="3" dataDxfId="44"/>
    <tableColumn id="4" xr3:uid="{F4441FE5-7F23-4E24-8F14-7CBD57063F7C}" uniqueName="4" name="Product" queryTableFieldId="4" dataDxfId="43"/>
    <tableColumn id="5" xr3:uid="{DE66ED6C-70A0-4D9C-819B-8E22CABE30B9}" uniqueName="5" name="Quantity" queryTableFieldId="5"/>
    <tableColumn id="6" xr3:uid="{2B2E6180-438F-4294-B977-045BC9A84F5F}" uniqueName="6" name="UnitPrice" queryTableFieldId="6"/>
    <tableColumn id="7" xr3:uid="{CDDF31A7-55E9-49B2-B4FE-89D5C26FA67E}" uniqueName="7" name="ShippingAddress" queryTableFieldId="7" dataDxfId="42"/>
    <tableColumn id="8" xr3:uid="{991474CC-9B67-40CF-A2FD-A6E21D814291}" uniqueName="8" name="PaymentMethod" queryTableFieldId="8" dataDxfId="41"/>
    <tableColumn id="9" xr3:uid="{77815D9E-D23A-4862-8231-40D3DCE1A40E}" uniqueName="9" name="OrderStatus" queryTableFieldId="9" dataDxfId="40"/>
    <tableColumn id="10" xr3:uid="{E2368897-B15F-4944-8366-0656B687853A}" uniqueName="10" name="TrackingNumber" queryTableFieldId="10" dataDxfId="39"/>
    <tableColumn id="11" xr3:uid="{88132A7D-E6F8-4B6B-999B-5A68E02EBED7}" uniqueName="11" name="ItemsInCart" queryTableFieldId="11"/>
    <tableColumn id="12" xr3:uid="{25A829A4-A39C-47E9-97D0-41A49C025FC1}" uniqueName="12" name="CouponCode" queryTableFieldId="12" dataDxfId="38"/>
    <tableColumn id="13" xr3:uid="{0FD196F8-F056-465A-B4FD-4D06B9369219}" uniqueName="13" name="ReferralSource" queryTableFieldId="13" dataDxfId="37"/>
    <tableColumn id="14" xr3:uid="{D8610A42-7F97-4D55-AD46-C3CEBAB5951F}" uniqueName="14" name="TotalPrice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7BF1E9-C7B6-4B4B-97B1-94477E432A21}" name="Table1" displayName="Table1" ref="A1:P1201" totalsRowShown="0" headerRowDxfId="36" headerRowBorderDxfId="35" tableBorderDxfId="34">
  <autoFilter ref="A1:P1201" xr:uid="{187BF1E9-C7B6-4B4B-97B1-94477E432A21}"/>
  <tableColumns count="16">
    <tableColumn id="1" xr3:uid="{29F6666C-CBCC-4353-82F2-912E7F5CBC77}" name="OrderID"/>
    <tableColumn id="2" xr3:uid="{6B9AA255-D545-4523-A529-DACA08CC5B40}" name="Date" dataDxfId="33"/>
    <tableColumn id="21" xr3:uid="{FB44FDCC-1BCA-489F-9ED4-52769924D993}" name="Year" dataDxfId="32">
      <calculatedColumnFormula>TEXT(B2, "yyyy")</calculatedColumnFormula>
    </tableColumn>
    <tableColumn id="17" xr3:uid="{161D4AF1-78F5-470B-96AF-13084270B713}" name="Month" dataDxfId="31">
      <calculatedColumnFormula>TEXT(B2, "MMM")</calculatedColumnFormula>
    </tableColumn>
    <tableColumn id="3" xr3:uid="{70E236FC-EE70-4B27-A1CE-8D7A39824E2A}" name="CustomerID" dataDxfId="30"/>
    <tableColumn id="4" xr3:uid="{95AB1DED-CF75-45F1-B540-DBD22D3D8E2D}" name="Product" dataDxfId="29"/>
    <tableColumn id="5" xr3:uid="{657C13A8-B4EF-4496-8368-680E071C66BA}" name="Quantity"/>
    <tableColumn id="6" xr3:uid="{D6D6E22B-5FC1-4FE7-909F-66F13E02416E}" name="UnitPrice" dataDxfId="28"/>
    <tableColumn id="7" xr3:uid="{77328483-9F87-43E3-A2D2-9C3977BFB67B}" name="ShippingAddress" dataDxfId="27"/>
    <tableColumn id="8" xr3:uid="{F025545C-1319-4187-A5F3-52C253581E15}" name="PaymentMethod" dataDxfId="26"/>
    <tableColumn id="9" xr3:uid="{222B7843-92B4-4624-AD9D-34F7CDB88344}" name="OrderStatus" dataDxfId="25"/>
    <tableColumn id="10" xr3:uid="{8D884327-C524-47AE-BA51-0766EFBE3419}" name="TrackingNumber"/>
    <tableColumn id="11" xr3:uid="{02E132C9-A83F-4771-82A0-1C6D5CDF50EE}" name="ItemsInCart"/>
    <tableColumn id="12" xr3:uid="{77855303-00E3-45C4-A06C-035BC9570F8F}" name="CouponCode"/>
    <tableColumn id="13" xr3:uid="{1115147E-4642-42AA-81C1-730CC4EE627C}" name="ReferralSource"/>
    <tableColumn id="14" xr3:uid="{3D3482B3-0ED0-4826-AB32-FE699B1DF2B2}" name="TotalPri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552FF6-FE2B-45F8-8DE3-5410AF0F559B}" name="Table5" displayName="Table5" ref="B9:C14" totalsRowShown="0">
  <autoFilter ref="B9:C14" xr:uid="{51552FF6-FE2B-45F8-8DE3-5410AF0F559B}"/>
  <tableColumns count="2">
    <tableColumn id="1" xr3:uid="{A33F8765-0B1F-4AA8-A9C3-DCF6D5757170}" name="Column1"/>
    <tableColumn id="2" xr3:uid="{D9A6F31B-AF55-47D5-B20D-F1DBA1157C9F}" name="Column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6AE9CC-A442-4498-AC8F-2A5BA2239954}" name="Table57" displayName="Table57" ref="F9:G14" totalsRowShown="0">
  <autoFilter ref="F9:G14" xr:uid="{286AE9CC-A442-4498-AC8F-2A5BA2239954}"/>
  <tableColumns count="2">
    <tableColumn id="1" xr3:uid="{E30C61C7-2B6F-437D-88E5-1ACE7AB395EF}" name="Column1"/>
    <tableColumn id="2" xr3:uid="{8B8C8547-02EF-4D6C-B1F7-8AB203DCE0EC}" name="Column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BB4221-D133-407F-B00B-408BBA7F83E8}" name="Table578" displayName="Table578" ref="B19:C24" totalsRowShown="0">
  <autoFilter ref="B19:C24" xr:uid="{76BB4221-D133-407F-B00B-408BBA7F83E8}"/>
  <tableColumns count="2">
    <tableColumn id="1" xr3:uid="{053B1C05-D6B7-4445-9A3C-A3A80FE061DD}" name="Column1"/>
    <tableColumn id="2" xr3:uid="{1C9BF386-C8CD-415A-8C60-43310829D66A}" name="Column2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EDA7405-7ED2-4E9B-913E-3867C6621FCA}" name="Table579" displayName="Table579" ref="F19:G24" totalsRowShown="0">
  <autoFilter ref="F19:G24" xr:uid="{BEDA7405-7ED2-4E9B-913E-3867C6621FCA}"/>
  <tableColumns count="2">
    <tableColumn id="1" xr3:uid="{86B4EC26-D0F5-4C24-9497-1B2519609C5F}" name="Column1"/>
    <tableColumn id="2" xr3:uid="{EFB73C82-7A4F-48D4-BA7A-053DE66B4EF3}" name="Column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3C311B1-796D-46BE-B958-3FA0FDB67C09}" name="Table10" displayName="Table10" ref="E5:F18" totalsRowCount="1" headerRowBorderDxfId="24">
  <autoFilter ref="E5:F17" xr:uid="{E3C311B1-796D-46BE-B958-3FA0FDB67C09}"/>
  <tableColumns count="2">
    <tableColumn id="1" xr3:uid="{BF379F72-5461-4633-932A-40B0771751A0}" name="MONTH" totalsRowLabel="TOTAL" totalsRowDxfId="10"/>
    <tableColumn id="2" xr3:uid="{40A28E09-5623-4275-AF67-5807B3E8ED63}" name="ORDER COUNT" totalsRowFunction="custom" totalsRowDxfId="9">
      <totalsRowFormula>SUM(F6:F17)</totalsRow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84D21E-17CA-4092-AD36-B33A3033F1D4}" name="Table4" displayName="Table4" ref="B18:C22" totalsRowCount="1" headerRowDxfId="23">
  <autoFilter ref="B18:C21" xr:uid="{F584D21E-17CA-4092-AD36-B33A3033F1D4}"/>
  <tableColumns count="2">
    <tableColumn id="1" xr3:uid="{A6406F4E-2E08-4E5B-99BD-CAFE8552B8D3}" name="YEAR" totalsRowLabel="GRAND TOTAL" totalsRowDxfId="11"/>
    <tableColumn id="2" xr3:uid="{38A8618F-AE01-4B48-8B10-E305B4A91354}" name="REVENUE" totalsRowFunction="custom" dataDxfId="22" totalsRowDxfId="12" dataCellStyle="Comma" totalsRowCellStyle="Comma">
      <totalsRowFormula>-SUM(C19:C21)</totalsRow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5F8C7A1-2871-4182-A916-1A77DB665148}" name="Table9" displayName="Table9" ref="B5:C13" totalsRowCount="1">
  <autoFilter ref="B5:C12" xr:uid="{A5F8C7A1-2871-4182-A916-1A77DB665148}"/>
  <sortState xmlns:xlrd2="http://schemas.microsoft.com/office/spreadsheetml/2017/richdata2" ref="B6:C12">
    <sortCondition descending="1" ref="C5:C12"/>
  </sortState>
  <tableColumns count="2">
    <tableColumn id="1" xr3:uid="{F6527BFC-D143-438A-BBB3-BE81F833E72E}" name="PRODUCT" totalsRowLabel="GRAND TOTAL" totalsRowDxfId="13"/>
    <tableColumn id="2" xr3:uid="{B7424CF6-68E7-40DE-AFFB-2BAADAA18B53}" name="REVENUE" totalsRowFunction="custom" dataDxfId="21" totalsRowDxfId="14" dataCellStyle="Comma" totalsRowCellStyle="Comma">
      <totalsRowFormula>SUM(C6:C12)</totalsRow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F71E0E1-9782-4FBB-A12E-527CEFCE9994}" name="Table11" displayName="Table11" ref="L14:M20" totalsRowCount="1" headerRowDxfId="20">
  <autoFilter ref="L14:M19" xr:uid="{EF71E0E1-9782-4FBB-A12E-527CEFCE9994}"/>
  <tableColumns count="2">
    <tableColumn id="1" xr3:uid="{4591E51B-D3EA-496F-B9FB-C21DE790DB31}" name="REFERRAL SOURCE" totalsRowLabel="GRAND TOTAL" totalsRowDxfId="4"/>
    <tableColumn id="2" xr3:uid="{165C1B84-AA45-410E-95E5-BD84FF9FBCCC}" name="REVENUE" totalsRowFunction="custom" dataDxfId="19" totalsRowDxfId="3" dataCellStyle="Comma" totalsRowCellStyle="Comma">
      <totalsRowFormula>SUM(M15:M19)</totalsRow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9A3E963-D0A3-43D5-BC24-231B09ED53A6}" name="Table12" displayName="Table12" ref="L5:M11" totalsRowCount="1">
  <autoFilter ref="L5:M10" xr:uid="{89A3E963-D0A3-43D5-BC24-231B09ED53A6}"/>
  <tableColumns count="2">
    <tableColumn id="1" xr3:uid="{478A566F-36EB-46B7-A0A0-714EB078EB30}" name="ORDER STATUS" totalsRowLabel="GRAND TOTAL" totalsRowDxfId="6"/>
    <tableColumn id="2" xr3:uid="{2588D1E3-BA48-4C28-A5E2-EDF9099CC9C4}" name="COUNT" totalsRowFunction="custom" totalsRowDxfId="5">
      <totalsRowFormula>SUM(M6:M10)</totalsRow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9690223-5ED1-41F8-91CE-FC0F0478B81F}" name="Table1015" displayName="Table1015" ref="H5:I18" totalsRowCount="1" headerRowBorderDxfId="15">
  <autoFilter ref="H5:I17" xr:uid="{E9690223-5ED1-41F8-91CE-FC0F0478B81F}"/>
  <tableColumns count="2">
    <tableColumn id="1" xr3:uid="{882042CB-06FA-421B-BD73-B999ED2708A3}" name="MONTH" totalsRowLabel="GRAND TOTAL" totalsRowDxfId="8"/>
    <tableColumn id="2" xr3:uid="{57042D36-E5E3-402B-B6C4-EAB24567D006}" name="ORDER COUNT" totalsRowFunction="custom" totalsRowDxfId="7">
      <totalsRowFormula>SUM(I6:I17)</totalsRowFormula>
    </tableColumn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A6481C-4F49-4622-9553-41E8A41D1F4E}" name="Table3" displayName="Table3" ref="B4:D10" totalsRowShown="0">
  <autoFilter ref="B4:D10" xr:uid="{E4A6481C-4F49-4622-9553-41E8A41D1F4E}"/>
  <tableColumns count="3">
    <tableColumn id="1" xr3:uid="{B4E78E95-8EE3-46B6-9F3E-C1AD2C3706F0}" name="Column1" dataDxfId="18"/>
    <tableColumn id="2" xr3:uid="{B9B662DD-72A1-4A75-94B4-B51D018DCB03}" name="Column2" dataDxfId="17"/>
    <tableColumn id="3" xr3:uid="{D527EC67-9736-455A-8D54-9B8C1D9284DA}" name="Column3" dataDxfId="16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202638A-BCCE-4F52-B0D7-A8B98702C741}" name="Table13" displayName="Table13" ref="H4:I11" totalsRowShown="0">
  <autoFilter ref="H4:I11" xr:uid="{D202638A-BCCE-4F52-B0D7-A8B98702C741}"/>
  <tableColumns count="2">
    <tableColumn id="1" xr3:uid="{7640D12F-153E-454A-94D2-0F3FB0F68928}" name="Product"/>
    <tableColumn id="2" xr3:uid="{793C407D-8F80-4408-A6EE-DAFA17761D69}" name="Number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D614560-D243-411F-B490-11988ACCE20C}" name="Table15" displayName="Table15" ref="J4:K10" totalsRowShown="0" headerRowDxfId="0">
  <autoFilter ref="J4:K10" xr:uid="{8D614560-D243-411F-B490-11988ACCE20C}"/>
  <tableColumns count="2">
    <tableColumn id="1" xr3:uid="{97316FFB-69A3-44FE-8F41-961628EE6747}" name="PARAMETER" dataDxfId="2"/>
    <tableColumn id="2" xr3:uid="{D15D56C7-746E-439B-9E85-6579403652CB}" name="OBSERVATIO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0ABDD-2192-4950-B385-44403D49DB35}">
  <dimension ref="A1:N1201"/>
  <sheetViews>
    <sheetView workbookViewId="0">
      <selection activeCell="G21" sqref="G21"/>
    </sheetView>
  </sheetViews>
  <sheetFormatPr defaultRowHeight="14.4" x14ac:dyDescent="0.3"/>
  <cols>
    <col min="1" max="1" width="10.6640625" bestFit="1" customWidth="1"/>
    <col min="2" max="2" width="7.109375" bestFit="1" customWidth="1"/>
    <col min="3" max="3" width="13.109375" bestFit="1" customWidth="1"/>
    <col min="4" max="4" width="9.88671875" bestFit="1" customWidth="1"/>
    <col min="5" max="5" width="10.5546875" bestFit="1" customWidth="1"/>
    <col min="6" max="6" width="10.88671875" bestFit="1" customWidth="1"/>
    <col min="7" max="7" width="17.33203125" bestFit="1" customWidth="1"/>
    <col min="8" max="8" width="17.6640625" bestFit="1" customWidth="1"/>
    <col min="9" max="9" width="13.21875" bestFit="1" customWidth="1"/>
    <col min="10" max="10" width="17.33203125" bestFit="1" customWidth="1"/>
    <col min="11" max="11" width="13" bestFit="1" customWidth="1"/>
    <col min="12" max="12" width="14.21875" bestFit="1" customWidth="1"/>
    <col min="13" max="13" width="15.6640625" bestFit="1" customWidth="1"/>
    <col min="14" max="14" width="11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opLeftCell="F1" zoomScale="86" workbookViewId="0">
      <selection activeCell="D5" sqref="D5"/>
    </sheetView>
  </sheetViews>
  <sheetFormatPr defaultRowHeight="14.4" x14ac:dyDescent="0.3"/>
  <cols>
    <col min="1" max="1" width="13.33203125" customWidth="1"/>
    <col min="2" max="2" width="15.44140625" style="3" customWidth="1"/>
    <col min="3" max="3" width="15.44140625" style="7" customWidth="1"/>
    <col min="4" max="4" width="17.109375" style="6" customWidth="1"/>
    <col min="5" max="5" width="16.6640625" style="5" customWidth="1"/>
    <col min="6" max="6" width="14.109375" customWidth="1"/>
    <col min="7" max="7" width="14.88671875" customWidth="1"/>
    <col min="8" max="8" width="21.5546875" style="6" customWidth="1"/>
    <col min="9" max="9" width="21.33203125" style="6" customWidth="1"/>
    <col min="10" max="10" width="22.21875" style="6" customWidth="1"/>
    <col min="11" max="11" width="19.88671875" customWidth="1"/>
    <col min="12" max="12" width="20.6640625" customWidth="1"/>
    <col min="13" max="13" width="20.109375" customWidth="1"/>
    <col min="14" max="14" width="19.21875" customWidth="1"/>
    <col min="15" max="15" width="22.6640625" customWidth="1"/>
    <col min="16" max="16" width="18.33203125" customWidth="1"/>
  </cols>
  <sheetData>
    <row r="1" spans="1:16" x14ac:dyDescent="0.3">
      <c r="A1" s="1" t="s">
        <v>0</v>
      </c>
      <c r="B1" s="2" t="s">
        <v>1</v>
      </c>
      <c r="C1" s="2" t="s">
        <v>4284</v>
      </c>
      <c r="D1" s="2" t="s">
        <v>4283</v>
      </c>
      <c r="E1" s="1" t="s">
        <v>2</v>
      </c>
      <c r="F1" s="4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3">
      <c r="A2" t="s">
        <v>14</v>
      </c>
      <c r="B2" s="3">
        <v>44930</v>
      </c>
      <c r="C2" s="7" t="str">
        <f t="shared" ref="C2:C65" si="0">TEXT(B2, "yyyy")</f>
        <v>2023</v>
      </c>
      <c r="D2" s="7" t="str">
        <f t="shared" ref="D2:D65" si="1">TEXT(B2, "MMM")</f>
        <v>Jan</v>
      </c>
      <c r="E2" s="6" t="s">
        <v>1214</v>
      </c>
      <c r="F2" s="5" t="s">
        <v>2403</v>
      </c>
      <c r="G2">
        <v>5</v>
      </c>
      <c r="H2">
        <v>570.62</v>
      </c>
      <c r="I2" s="6" t="s">
        <v>2410</v>
      </c>
      <c r="J2" s="6" t="s">
        <v>3065</v>
      </c>
      <c r="K2" s="6" t="s">
        <v>3070</v>
      </c>
      <c r="L2" t="s">
        <v>3075</v>
      </c>
      <c r="M2">
        <v>7</v>
      </c>
      <c r="N2" t="s">
        <v>4275</v>
      </c>
      <c r="O2" t="s">
        <v>4278</v>
      </c>
      <c r="P2">
        <v>2853.1</v>
      </c>
    </row>
    <row r="3" spans="1:16" x14ac:dyDescent="0.3">
      <c r="A3" t="s">
        <v>15</v>
      </c>
      <c r="B3" s="3">
        <v>45527</v>
      </c>
      <c r="C3" s="7" t="str">
        <f t="shared" si="0"/>
        <v>2024</v>
      </c>
      <c r="D3" s="7" t="str">
        <f t="shared" si="1"/>
        <v>Aug</v>
      </c>
      <c r="E3" s="6" t="s">
        <v>1215</v>
      </c>
      <c r="F3" s="5" t="s">
        <v>2404</v>
      </c>
      <c r="G3">
        <v>2</v>
      </c>
      <c r="H3">
        <v>151.35</v>
      </c>
      <c r="I3" s="6" t="s">
        <v>2411</v>
      </c>
      <c r="J3" s="6" t="s">
        <v>3066</v>
      </c>
      <c r="K3" s="6" t="s">
        <v>3070</v>
      </c>
      <c r="L3" t="s">
        <v>3076</v>
      </c>
      <c r="M3">
        <v>3</v>
      </c>
      <c r="N3" t="s">
        <v>4275</v>
      </c>
      <c r="O3" t="s">
        <v>4279</v>
      </c>
      <c r="P3">
        <v>302.7</v>
      </c>
    </row>
    <row r="4" spans="1:16" x14ac:dyDescent="0.3">
      <c r="A4" t="s">
        <v>16</v>
      </c>
      <c r="B4" s="3">
        <v>45349</v>
      </c>
      <c r="C4" s="7" t="str">
        <f t="shared" si="0"/>
        <v>2024</v>
      </c>
      <c r="D4" s="7" t="str">
        <f t="shared" si="1"/>
        <v>Feb</v>
      </c>
      <c r="E4" s="6" t="s">
        <v>1216</v>
      </c>
      <c r="F4" s="5" t="s">
        <v>2405</v>
      </c>
      <c r="G4">
        <v>5</v>
      </c>
      <c r="H4">
        <v>550.67999999999995</v>
      </c>
      <c r="I4" s="6" t="s">
        <v>2412</v>
      </c>
      <c r="J4" s="6" t="s">
        <v>3067</v>
      </c>
      <c r="K4" s="6" t="s">
        <v>3071</v>
      </c>
      <c r="L4" t="s">
        <v>3077</v>
      </c>
      <c r="M4">
        <v>8</v>
      </c>
      <c r="N4" t="s">
        <v>4276</v>
      </c>
      <c r="O4" t="s">
        <v>4280</v>
      </c>
      <c r="P4">
        <v>2753.4</v>
      </c>
    </row>
    <row r="5" spans="1:16" x14ac:dyDescent="0.3">
      <c r="A5" t="s">
        <v>17</v>
      </c>
      <c r="B5" s="3">
        <v>45214</v>
      </c>
      <c r="C5" s="7" t="str">
        <f t="shared" si="0"/>
        <v>2023</v>
      </c>
      <c r="D5" s="7" t="str">
        <f t="shared" si="1"/>
        <v>Oct</v>
      </c>
      <c r="E5" s="6" t="s">
        <v>1217</v>
      </c>
      <c r="F5" s="5" t="s">
        <v>2406</v>
      </c>
      <c r="G5">
        <v>1</v>
      </c>
      <c r="H5">
        <v>273.19</v>
      </c>
      <c r="I5" s="6" t="s">
        <v>2413</v>
      </c>
      <c r="J5" s="6" t="s">
        <v>3065</v>
      </c>
      <c r="K5" s="6" t="s">
        <v>3072</v>
      </c>
      <c r="L5" t="s">
        <v>3078</v>
      </c>
      <c r="M5">
        <v>5</v>
      </c>
      <c r="N5" t="s">
        <v>4275</v>
      </c>
      <c r="O5" t="s">
        <v>4281</v>
      </c>
      <c r="P5">
        <v>273.19</v>
      </c>
    </row>
    <row r="6" spans="1:16" x14ac:dyDescent="0.3">
      <c r="A6" t="s">
        <v>18</v>
      </c>
      <c r="B6" s="3">
        <v>45785</v>
      </c>
      <c r="C6" s="7" t="str">
        <f t="shared" si="0"/>
        <v>2025</v>
      </c>
      <c r="D6" s="7" t="str">
        <f t="shared" si="1"/>
        <v>May</v>
      </c>
      <c r="E6" s="6" t="s">
        <v>1218</v>
      </c>
      <c r="F6" s="5" t="s">
        <v>2407</v>
      </c>
      <c r="G6">
        <v>4</v>
      </c>
      <c r="H6">
        <v>626.01</v>
      </c>
      <c r="I6" s="6" t="s">
        <v>2414</v>
      </c>
      <c r="J6" s="6" t="s">
        <v>3066</v>
      </c>
      <c r="K6" s="6" t="s">
        <v>3073</v>
      </c>
      <c r="L6" t="s">
        <v>3079</v>
      </c>
      <c r="M6">
        <v>8</v>
      </c>
      <c r="N6" t="s">
        <v>4275</v>
      </c>
      <c r="O6" t="s">
        <v>4280</v>
      </c>
      <c r="P6">
        <v>2504.04</v>
      </c>
    </row>
    <row r="7" spans="1:16" x14ac:dyDescent="0.3">
      <c r="A7" t="s">
        <v>19</v>
      </c>
      <c r="B7" s="3">
        <v>45222</v>
      </c>
      <c r="C7" s="7" t="str">
        <f t="shared" si="0"/>
        <v>2023</v>
      </c>
      <c r="D7" s="7" t="str">
        <f t="shared" si="1"/>
        <v>Oct</v>
      </c>
      <c r="E7" s="6" t="s">
        <v>1219</v>
      </c>
      <c r="F7" s="5" t="s">
        <v>2404</v>
      </c>
      <c r="G7">
        <v>2</v>
      </c>
      <c r="H7">
        <v>245.86</v>
      </c>
      <c r="I7" s="6" t="s">
        <v>2415</v>
      </c>
      <c r="J7" s="6" t="s">
        <v>3067</v>
      </c>
      <c r="K7" s="6" t="s">
        <v>3070</v>
      </c>
      <c r="L7" t="s">
        <v>3080</v>
      </c>
      <c r="M7">
        <v>4</v>
      </c>
      <c r="N7" t="s">
        <v>4275</v>
      </c>
      <c r="O7" t="s">
        <v>4278</v>
      </c>
      <c r="P7">
        <v>491.72</v>
      </c>
    </row>
    <row r="8" spans="1:16" x14ac:dyDescent="0.3">
      <c r="A8" t="s">
        <v>20</v>
      </c>
      <c r="B8" s="3">
        <v>45825</v>
      </c>
      <c r="C8" s="7" t="str">
        <f t="shared" si="0"/>
        <v>2025</v>
      </c>
      <c r="D8" s="7" t="str">
        <f t="shared" si="1"/>
        <v>Jun</v>
      </c>
      <c r="E8" s="6" t="s">
        <v>1220</v>
      </c>
      <c r="F8" s="5" t="s">
        <v>2408</v>
      </c>
      <c r="G8">
        <v>1</v>
      </c>
      <c r="H8">
        <v>664.42</v>
      </c>
      <c r="I8" s="6" t="s">
        <v>2416</v>
      </c>
      <c r="J8" s="6" t="s">
        <v>3068</v>
      </c>
      <c r="K8" s="6" t="s">
        <v>3072</v>
      </c>
      <c r="L8" t="s">
        <v>3081</v>
      </c>
      <c r="M8">
        <v>6</v>
      </c>
      <c r="N8" t="s">
        <v>4275</v>
      </c>
      <c r="O8" t="s">
        <v>4281</v>
      </c>
      <c r="P8">
        <v>664.42</v>
      </c>
    </row>
    <row r="9" spans="1:16" x14ac:dyDescent="0.3">
      <c r="A9" t="s">
        <v>21</v>
      </c>
      <c r="B9" s="3">
        <v>45058</v>
      </c>
      <c r="C9" s="7" t="str">
        <f t="shared" si="0"/>
        <v>2023</v>
      </c>
      <c r="D9" s="7" t="str">
        <f t="shared" si="1"/>
        <v>May</v>
      </c>
      <c r="E9" s="6" t="s">
        <v>1221</v>
      </c>
      <c r="F9" s="5" t="s">
        <v>2403</v>
      </c>
      <c r="G9">
        <v>5</v>
      </c>
      <c r="H9">
        <v>149.55000000000001</v>
      </c>
      <c r="I9" s="6" t="s">
        <v>2417</v>
      </c>
      <c r="J9" s="6" t="s">
        <v>3069</v>
      </c>
      <c r="K9" s="6" t="s">
        <v>3070</v>
      </c>
      <c r="L9" t="s">
        <v>3082</v>
      </c>
      <c r="M9">
        <v>9</v>
      </c>
      <c r="N9" t="s">
        <v>4276</v>
      </c>
      <c r="O9" t="s">
        <v>4281</v>
      </c>
      <c r="P9">
        <v>747.75</v>
      </c>
    </row>
    <row r="10" spans="1:16" x14ac:dyDescent="0.3">
      <c r="A10" t="s">
        <v>22</v>
      </c>
      <c r="B10" s="3">
        <v>45749</v>
      </c>
      <c r="C10" s="7" t="str">
        <f t="shared" si="0"/>
        <v>2025</v>
      </c>
      <c r="D10" s="7" t="str">
        <f t="shared" si="1"/>
        <v>Apr</v>
      </c>
      <c r="E10" s="6" t="s">
        <v>1222</v>
      </c>
      <c r="F10" s="5" t="s">
        <v>2404</v>
      </c>
      <c r="G10">
        <v>2</v>
      </c>
      <c r="H10">
        <v>134.28</v>
      </c>
      <c r="I10" s="6" t="s">
        <v>2418</v>
      </c>
      <c r="J10" s="6" t="s">
        <v>3068</v>
      </c>
      <c r="K10" s="6" t="s">
        <v>3071</v>
      </c>
      <c r="L10" t="s">
        <v>3083</v>
      </c>
      <c r="M10">
        <v>2</v>
      </c>
      <c r="N10" t="s">
        <v>4285</v>
      </c>
      <c r="O10" t="s">
        <v>4280</v>
      </c>
      <c r="P10">
        <v>268.56</v>
      </c>
    </row>
    <row r="11" spans="1:16" x14ac:dyDescent="0.3">
      <c r="A11" t="s">
        <v>23</v>
      </c>
      <c r="B11" s="3">
        <v>45251</v>
      </c>
      <c r="C11" s="7" t="str">
        <f t="shared" si="0"/>
        <v>2023</v>
      </c>
      <c r="D11" s="7" t="str">
        <f t="shared" si="1"/>
        <v>Nov</v>
      </c>
      <c r="E11" s="6" t="s">
        <v>1223</v>
      </c>
      <c r="F11" s="5" t="s">
        <v>2409</v>
      </c>
      <c r="G11">
        <v>4</v>
      </c>
      <c r="H11">
        <v>509.38</v>
      </c>
      <c r="I11" s="6" t="s">
        <v>2419</v>
      </c>
      <c r="J11" s="6" t="s">
        <v>3067</v>
      </c>
      <c r="K11" s="6" t="s">
        <v>3070</v>
      </c>
      <c r="L11" t="s">
        <v>3084</v>
      </c>
      <c r="M11">
        <v>6</v>
      </c>
      <c r="N11" t="s">
        <v>4275</v>
      </c>
      <c r="O11" t="s">
        <v>4282</v>
      </c>
      <c r="P11">
        <v>2037.52</v>
      </c>
    </row>
    <row r="12" spans="1:16" x14ac:dyDescent="0.3">
      <c r="A12" t="s">
        <v>24</v>
      </c>
      <c r="B12" s="3">
        <v>45289</v>
      </c>
      <c r="C12" s="7" t="str">
        <f t="shared" si="0"/>
        <v>2023</v>
      </c>
      <c r="D12" s="7" t="str">
        <f t="shared" si="1"/>
        <v>Dec</v>
      </c>
      <c r="E12" s="6" t="s">
        <v>1224</v>
      </c>
      <c r="F12" s="5" t="s">
        <v>2405</v>
      </c>
      <c r="G12">
        <v>5</v>
      </c>
      <c r="H12">
        <v>625.97</v>
      </c>
      <c r="I12" s="6" t="s">
        <v>2420</v>
      </c>
      <c r="J12" s="6" t="s">
        <v>3067</v>
      </c>
      <c r="K12" s="6" t="s">
        <v>3072</v>
      </c>
      <c r="L12" t="s">
        <v>3085</v>
      </c>
      <c r="M12">
        <v>9</v>
      </c>
      <c r="N12" t="s">
        <v>4277</v>
      </c>
      <c r="O12" t="s">
        <v>4278</v>
      </c>
      <c r="P12">
        <v>3129.85</v>
      </c>
    </row>
    <row r="13" spans="1:16" x14ac:dyDescent="0.3">
      <c r="A13" t="s">
        <v>25</v>
      </c>
      <c r="B13" s="3">
        <v>45339</v>
      </c>
      <c r="C13" s="7" t="str">
        <f t="shared" si="0"/>
        <v>2024</v>
      </c>
      <c r="D13" s="7" t="str">
        <f t="shared" si="1"/>
        <v>Feb</v>
      </c>
      <c r="E13" s="6" t="s">
        <v>1225</v>
      </c>
      <c r="F13" s="5" t="s">
        <v>2403</v>
      </c>
      <c r="G13">
        <v>3</v>
      </c>
      <c r="H13">
        <v>49.14</v>
      </c>
      <c r="I13" s="6" t="s">
        <v>2421</v>
      </c>
      <c r="J13" s="6" t="s">
        <v>3066</v>
      </c>
      <c r="K13" s="6" t="s">
        <v>3072</v>
      </c>
      <c r="L13" t="s">
        <v>3086</v>
      </c>
      <c r="M13">
        <v>7</v>
      </c>
      <c r="N13" t="s">
        <v>4275</v>
      </c>
      <c r="O13" t="s">
        <v>4280</v>
      </c>
      <c r="P13">
        <v>147.41999999999999</v>
      </c>
    </row>
    <row r="14" spans="1:16" x14ac:dyDescent="0.3">
      <c r="A14" t="s">
        <v>26</v>
      </c>
      <c r="B14" s="3">
        <v>45580</v>
      </c>
      <c r="C14" s="7" t="str">
        <f t="shared" si="0"/>
        <v>2024</v>
      </c>
      <c r="D14" s="7" t="str">
        <f t="shared" si="1"/>
        <v>Oct</v>
      </c>
      <c r="E14" s="6" t="s">
        <v>1226</v>
      </c>
      <c r="F14" s="5" t="s">
        <v>2403</v>
      </c>
      <c r="G14">
        <v>2</v>
      </c>
      <c r="H14">
        <v>180.5</v>
      </c>
      <c r="I14" s="6" t="s">
        <v>2422</v>
      </c>
      <c r="J14" s="6" t="s">
        <v>3065</v>
      </c>
      <c r="K14" s="6" t="s">
        <v>3074</v>
      </c>
      <c r="L14" t="s">
        <v>3087</v>
      </c>
      <c r="M14">
        <v>6</v>
      </c>
      <c r="N14" t="s">
        <v>4276</v>
      </c>
      <c r="O14" t="s">
        <v>4279</v>
      </c>
      <c r="P14">
        <v>361</v>
      </c>
    </row>
    <row r="15" spans="1:16" x14ac:dyDescent="0.3">
      <c r="A15" t="s">
        <v>27</v>
      </c>
      <c r="B15" s="3">
        <v>45168</v>
      </c>
      <c r="C15" s="7" t="str">
        <f t="shared" si="0"/>
        <v>2023</v>
      </c>
      <c r="D15" s="7" t="str">
        <f t="shared" si="1"/>
        <v>Aug</v>
      </c>
      <c r="E15" s="6" t="s">
        <v>1227</v>
      </c>
      <c r="F15" s="5" t="s">
        <v>2408</v>
      </c>
      <c r="G15">
        <v>3</v>
      </c>
      <c r="H15">
        <v>201.49</v>
      </c>
      <c r="I15" s="6" t="s">
        <v>2423</v>
      </c>
      <c r="J15" s="6" t="s">
        <v>3067</v>
      </c>
      <c r="K15" s="6" t="s">
        <v>3072</v>
      </c>
      <c r="L15" t="s">
        <v>3088</v>
      </c>
      <c r="M15">
        <v>4</v>
      </c>
      <c r="N15" t="s">
        <v>4276</v>
      </c>
      <c r="O15" t="s">
        <v>4281</v>
      </c>
      <c r="P15">
        <v>604.47</v>
      </c>
    </row>
    <row r="16" spans="1:16" x14ac:dyDescent="0.3">
      <c r="A16" t="s">
        <v>28</v>
      </c>
      <c r="B16" s="3">
        <v>45012</v>
      </c>
      <c r="C16" s="7" t="str">
        <f t="shared" si="0"/>
        <v>2023</v>
      </c>
      <c r="D16" s="7" t="str">
        <f t="shared" si="1"/>
        <v>Mar</v>
      </c>
      <c r="E16" s="6" t="s">
        <v>1228</v>
      </c>
      <c r="F16" s="5" t="s">
        <v>2405</v>
      </c>
      <c r="G16">
        <v>2</v>
      </c>
      <c r="H16">
        <v>393.33</v>
      </c>
      <c r="I16" s="6" t="s">
        <v>2424</v>
      </c>
      <c r="J16" s="6" t="s">
        <v>3065</v>
      </c>
      <c r="K16" s="6" t="s">
        <v>3074</v>
      </c>
      <c r="L16" t="s">
        <v>3089</v>
      </c>
      <c r="M16">
        <v>3</v>
      </c>
      <c r="N16" t="s">
        <v>4275</v>
      </c>
      <c r="O16" t="s">
        <v>4278</v>
      </c>
      <c r="P16">
        <v>786.66</v>
      </c>
    </row>
    <row r="17" spans="1:16" x14ac:dyDescent="0.3">
      <c r="A17" t="s">
        <v>29</v>
      </c>
      <c r="B17" s="3">
        <v>45124</v>
      </c>
      <c r="C17" s="7" t="str">
        <f t="shared" si="0"/>
        <v>2023</v>
      </c>
      <c r="D17" s="7" t="str">
        <f t="shared" si="1"/>
        <v>Jul</v>
      </c>
      <c r="E17" s="6" t="s">
        <v>1229</v>
      </c>
      <c r="F17" s="5" t="s">
        <v>2407</v>
      </c>
      <c r="G17">
        <v>1</v>
      </c>
      <c r="H17">
        <v>473.96</v>
      </c>
      <c r="I17" s="6" t="s">
        <v>2425</v>
      </c>
      <c r="J17" s="6" t="s">
        <v>3069</v>
      </c>
      <c r="K17" s="6" t="s">
        <v>3073</v>
      </c>
      <c r="L17" t="s">
        <v>3090</v>
      </c>
      <c r="M17">
        <v>3</v>
      </c>
      <c r="N17" t="s">
        <v>4285</v>
      </c>
      <c r="O17" t="s">
        <v>4282</v>
      </c>
      <c r="P17">
        <v>473.96</v>
      </c>
    </row>
    <row r="18" spans="1:16" x14ac:dyDescent="0.3">
      <c r="A18" t="s">
        <v>30</v>
      </c>
      <c r="B18" s="3">
        <v>44950</v>
      </c>
      <c r="C18" s="7" t="str">
        <f t="shared" si="0"/>
        <v>2023</v>
      </c>
      <c r="D18" s="7" t="str">
        <f t="shared" si="1"/>
        <v>Jan</v>
      </c>
      <c r="E18" s="6" t="s">
        <v>1230</v>
      </c>
      <c r="F18" s="5" t="s">
        <v>2407</v>
      </c>
      <c r="G18">
        <v>2</v>
      </c>
      <c r="H18">
        <v>533.80999999999995</v>
      </c>
      <c r="I18" s="6" t="s">
        <v>2426</v>
      </c>
      <c r="J18" s="6" t="s">
        <v>3067</v>
      </c>
      <c r="K18" s="6" t="s">
        <v>3074</v>
      </c>
      <c r="L18" t="s">
        <v>3091</v>
      </c>
      <c r="M18">
        <v>3</v>
      </c>
      <c r="N18" t="s">
        <v>4276</v>
      </c>
      <c r="O18" t="s">
        <v>4280</v>
      </c>
      <c r="P18">
        <v>1067.6199999999999</v>
      </c>
    </row>
    <row r="19" spans="1:16" x14ac:dyDescent="0.3">
      <c r="A19" t="s">
        <v>31</v>
      </c>
      <c r="B19" s="3">
        <v>45353</v>
      </c>
      <c r="C19" s="7" t="str">
        <f t="shared" si="0"/>
        <v>2024</v>
      </c>
      <c r="D19" s="7" t="str">
        <f t="shared" si="1"/>
        <v>Mar</v>
      </c>
      <c r="E19" s="6" t="s">
        <v>1231</v>
      </c>
      <c r="F19" s="5" t="s">
        <v>2405</v>
      </c>
      <c r="G19">
        <v>1</v>
      </c>
      <c r="H19">
        <v>423.4</v>
      </c>
      <c r="I19" s="6" t="s">
        <v>2427</v>
      </c>
      <c r="J19" s="6" t="s">
        <v>3065</v>
      </c>
      <c r="K19" s="6" t="s">
        <v>3070</v>
      </c>
      <c r="L19" t="s">
        <v>3092</v>
      </c>
      <c r="M19">
        <v>3</v>
      </c>
      <c r="N19" t="s">
        <v>4285</v>
      </c>
      <c r="O19" t="s">
        <v>4279</v>
      </c>
      <c r="P19">
        <v>423.4</v>
      </c>
    </row>
    <row r="20" spans="1:16" x14ac:dyDescent="0.3">
      <c r="A20" t="s">
        <v>32</v>
      </c>
      <c r="B20" s="3">
        <v>45742</v>
      </c>
      <c r="C20" s="7" t="str">
        <f t="shared" si="0"/>
        <v>2025</v>
      </c>
      <c r="D20" s="7" t="str">
        <f t="shared" si="1"/>
        <v>Mar</v>
      </c>
      <c r="E20" s="6" t="s">
        <v>1232</v>
      </c>
      <c r="F20" s="5" t="s">
        <v>2409</v>
      </c>
      <c r="G20">
        <v>1</v>
      </c>
      <c r="H20">
        <v>431.44</v>
      </c>
      <c r="I20" s="6" t="s">
        <v>2428</v>
      </c>
      <c r="J20" s="6" t="s">
        <v>3068</v>
      </c>
      <c r="K20" s="6" t="s">
        <v>3074</v>
      </c>
      <c r="L20" t="s">
        <v>3093</v>
      </c>
      <c r="M20">
        <v>3</v>
      </c>
      <c r="N20" t="s">
        <v>4275</v>
      </c>
      <c r="O20" t="s">
        <v>4281</v>
      </c>
      <c r="P20">
        <v>431.44</v>
      </c>
    </row>
    <row r="21" spans="1:16" x14ac:dyDescent="0.3">
      <c r="A21" t="s">
        <v>33</v>
      </c>
      <c r="B21" s="3">
        <v>44949</v>
      </c>
      <c r="C21" s="7" t="str">
        <f t="shared" si="0"/>
        <v>2023</v>
      </c>
      <c r="D21" s="7" t="str">
        <f t="shared" si="1"/>
        <v>Jan</v>
      </c>
      <c r="E21" s="6" t="s">
        <v>1233</v>
      </c>
      <c r="F21" s="5" t="s">
        <v>2403</v>
      </c>
      <c r="G21">
        <v>5</v>
      </c>
      <c r="H21">
        <v>224</v>
      </c>
      <c r="I21" s="6" t="s">
        <v>2429</v>
      </c>
      <c r="J21" s="6" t="s">
        <v>3069</v>
      </c>
      <c r="K21" s="6" t="s">
        <v>3072</v>
      </c>
      <c r="L21" t="s">
        <v>3094</v>
      </c>
      <c r="M21">
        <v>9</v>
      </c>
      <c r="N21" t="s">
        <v>4275</v>
      </c>
      <c r="O21" t="s">
        <v>4282</v>
      </c>
      <c r="P21">
        <v>1120</v>
      </c>
    </row>
    <row r="22" spans="1:16" x14ac:dyDescent="0.3">
      <c r="A22" t="s">
        <v>34</v>
      </c>
      <c r="B22" s="3">
        <v>45054</v>
      </c>
      <c r="C22" s="7" t="str">
        <f t="shared" si="0"/>
        <v>2023</v>
      </c>
      <c r="D22" s="7" t="str">
        <f t="shared" si="1"/>
        <v>May</v>
      </c>
      <c r="E22" s="6" t="s">
        <v>1234</v>
      </c>
      <c r="F22" s="5" t="s">
        <v>2406</v>
      </c>
      <c r="G22">
        <v>5</v>
      </c>
      <c r="H22">
        <v>62.51</v>
      </c>
      <c r="I22" s="6" t="s">
        <v>2430</v>
      </c>
      <c r="J22" s="6" t="s">
        <v>3069</v>
      </c>
      <c r="K22" s="6" t="s">
        <v>3074</v>
      </c>
      <c r="L22" t="s">
        <v>3095</v>
      </c>
      <c r="M22">
        <v>9</v>
      </c>
      <c r="N22" t="s">
        <v>4277</v>
      </c>
      <c r="O22" t="s">
        <v>4278</v>
      </c>
      <c r="P22">
        <v>312.55</v>
      </c>
    </row>
    <row r="23" spans="1:16" x14ac:dyDescent="0.3">
      <c r="A23" t="s">
        <v>35</v>
      </c>
      <c r="B23" s="3">
        <v>45613</v>
      </c>
      <c r="C23" s="7" t="str">
        <f t="shared" si="0"/>
        <v>2024</v>
      </c>
      <c r="D23" s="7" t="str">
        <f t="shared" si="1"/>
        <v>Nov</v>
      </c>
      <c r="E23" s="6" t="s">
        <v>1235</v>
      </c>
      <c r="F23" s="5" t="s">
        <v>2403</v>
      </c>
      <c r="G23">
        <v>4</v>
      </c>
      <c r="H23">
        <v>342.95</v>
      </c>
      <c r="I23" s="6" t="s">
        <v>2431</v>
      </c>
      <c r="J23" s="6" t="s">
        <v>3069</v>
      </c>
      <c r="K23" s="6" t="s">
        <v>3073</v>
      </c>
      <c r="L23" t="s">
        <v>3096</v>
      </c>
      <c r="M23">
        <v>6</v>
      </c>
      <c r="N23" t="s">
        <v>4285</v>
      </c>
      <c r="O23" t="s">
        <v>4282</v>
      </c>
      <c r="P23">
        <v>1371.8</v>
      </c>
    </row>
    <row r="24" spans="1:16" x14ac:dyDescent="0.3">
      <c r="A24" t="s">
        <v>36</v>
      </c>
      <c r="B24" s="3">
        <v>44955</v>
      </c>
      <c r="C24" s="7" t="str">
        <f t="shared" si="0"/>
        <v>2023</v>
      </c>
      <c r="D24" s="7" t="str">
        <f t="shared" si="1"/>
        <v>Jan</v>
      </c>
      <c r="E24" s="6" t="s">
        <v>1236</v>
      </c>
      <c r="F24" s="5" t="s">
        <v>2403</v>
      </c>
      <c r="G24">
        <v>2</v>
      </c>
      <c r="H24">
        <v>49.62</v>
      </c>
      <c r="I24" s="6" t="s">
        <v>2432</v>
      </c>
      <c r="J24" s="6" t="s">
        <v>3066</v>
      </c>
      <c r="K24" s="6" t="s">
        <v>3074</v>
      </c>
      <c r="L24" t="s">
        <v>3097</v>
      </c>
      <c r="M24">
        <v>2</v>
      </c>
      <c r="N24" t="s">
        <v>4275</v>
      </c>
      <c r="O24" t="s">
        <v>4282</v>
      </c>
      <c r="P24">
        <v>99.24</v>
      </c>
    </row>
    <row r="25" spans="1:16" x14ac:dyDescent="0.3">
      <c r="A25" t="s">
        <v>37</v>
      </c>
      <c r="B25" s="3">
        <v>45756</v>
      </c>
      <c r="C25" s="7" t="str">
        <f t="shared" si="0"/>
        <v>2025</v>
      </c>
      <c r="D25" s="7" t="str">
        <f t="shared" si="1"/>
        <v>Apr</v>
      </c>
      <c r="E25" s="6" t="s">
        <v>1237</v>
      </c>
      <c r="F25" s="5" t="s">
        <v>2404</v>
      </c>
      <c r="G25">
        <v>4</v>
      </c>
      <c r="H25">
        <v>273.25</v>
      </c>
      <c r="I25" s="6" t="s">
        <v>2433</v>
      </c>
      <c r="J25" s="6" t="s">
        <v>3065</v>
      </c>
      <c r="K25" s="6" t="s">
        <v>3071</v>
      </c>
      <c r="L25" t="s">
        <v>3098</v>
      </c>
      <c r="M25">
        <v>5</v>
      </c>
      <c r="N25" t="s">
        <v>4276</v>
      </c>
      <c r="O25" t="s">
        <v>4279</v>
      </c>
      <c r="P25">
        <v>1093</v>
      </c>
    </row>
    <row r="26" spans="1:16" x14ac:dyDescent="0.3">
      <c r="A26" t="s">
        <v>38</v>
      </c>
      <c r="B26" s="3">
        <v>45595</v>
      </c>
      <c r="C26" s="7" t="str">
        <f t="shared" si="0"/>
        <v>2024</v>
      </c>
      <c r="D26" s="7" t="str">
        <f t="shared" si="1"/>
        <v>Oct</v>
      </c>
      <c r="E26" s="6" t="s">
        <v>1238</v>
      </c>
      <c r="F26" s="5" t="s">
        <v>2408</v>
      </c>
      <c r="G26">
        <v>2</v>
      </c>
      <c r="H26">
        <v>230.95</v>
      </c>
      <c r="I26" s="6" t="s">
        <v>2434</v>
      </c>
      <c r="J26" s="6" t="s">
        <v>3066</v>
      </c>
      <c r="K26" s="6" t="s">
        <v>3073</v>
      </c>
      <c r="L26" t="s">
        <v>3099</v>
      </c>
      <c r="M26">
        <v>3</v>
      </c>
      <c r="N26" t="s">
        <v>4277</v>
      </c>
      <c r="O26" t="s">
        <v>4279</v>
      </c>
      <c r="P26">
        <v>461.9</v>
      </c>
    </row>
    <row r="27" spans="1:16" x14ac:dyDescent="0.3">
      <c r="A27" t="s">
        <v>39</v>
      </c>
      <c r="B27" s="3">
        <v>45497</v>
      </c>
      <c r="C27" s="7" t="str">
        <f t="shared" si="0"/>
        <v>2024</v>
      </c>
      <c r="D27" s="7" t="str">
        <f t="shared" si="1"/>
        <v>Jul</v>
      </c>
      <c r="E27" s="6" t="s">
        <v>1239</v>
      </c>
      <c r="F27" s="5" t="s">
        <v>2403</v>
      </c>
      <c r="G27">
        <v>1</v>
      </c>
      <c r="H27">
        <v>399.98</v>
      </c>
      <c r="I27" s="6" t="s">
        <v>2435</v>
      </c>
      <c r="J27" s="6" t="s">
        <v>3065</v>
      </c>
      <c r="K27" s="6" t="s">
        <v>3073</v>
      </c>
      <c r="L27" t="s">
        <v>3100</v>
      </c>
      <c r="M27">
        <v>3</v>
      </c>
      <c r="N27" t="s">
        <v>4277</v>
      </c>
      <c r="O27" t="s">
        <v>4280</v>
      </c>
      <c r="P27">
        <v>399.98</v>
      </c>
    </row>
    <row r="28" spans="1:16" x14ac:dyDescent="0.3">
      <c r="A28" t="s">
        <v>40</v>
      </c>
      <c r="B28" s="3">
        <v>45357</v>
      </c>
      <c r="C28" s="7" t="str">
        <f t="shared" si="0"/>
        <v>2024</v>
      </c>
      <c r="D28" s="7" t="str">
        <f t="shared" si="1"/>
        <v>Mar</v>
      </c>
      <c r="E28" s="6" t="s">
        <v>1240</v>
      </c>
      <c r="F28" s="5" t="s">
        <v>2408</v>
      </c>
      <c r="G28">
        <v>5</v>
      </c>
      <c r="H28">
        <v>59.55</v>
      </c>
      <c r="I28" s="6" t="s">
        <v>2436</v>
      </c>
      <c r="J28" s="6" t="s">
        <v>3066</v>
      </c>
      <c r="K28" s="6" t="s">
        <v>3073</v>
      </c>
      <c r="L28" t="s">
        <v>3101</v>
      </c>
      <c r="M28">
        <v>6</v>
      </c>
      <c r="N28" t="s">
        <v>4285</v>
      </c>
      <c r="O28" t="s">
        <v>4279</v>
      </c>
      <c r="P28">
        <v>297.75</v>
      </c>
    </row>
    <row r="29" spans="1:16" x14ac:dyDescent="0.3">
      <c r="A29" t="s">
        <v>41</v>
      </c>
      <c r="B29" s="3">
        <v>45344</v>
      </c>
      <c r="C29" s="7" t="str">
        <f t="shared" si="0"/>
        <v>2024</v>
      </c>
      <c r="D29" s="7" t="str">
        <f t="shared" si="1"/>
        <v>Feb</v>
      </c>
      <c r="E29" s="6" t="s">
        <v>1241</v>
      </c>
      <c r="F29" s="5" t="s">
        <v>2407</v>
      </c>
      <c r="G29">
        <v>1</v>
      </c>
      <c r="H29">
        <v>472.74</v>
      </c>
      <c r="I29" s="6" t="s">
        <v>2437</v>
      </c>
      <c r="J29" s="6" t="s">
        <v>3066</v>
      </c>
      <c r="K29" s="6" t="s">
        <v>3070</v>
      </c>
      <c r="L29" t="s">
        <v>3102</v>
      </c>
      <c r="M29">
        <v>6</v>
      </c>
      <c r="N29" t="s">
        <v>4277</v>
      </c>
      <c r="O29" t="s">
        <v>4282</v>
      </c>
      <c r="P29">
        <v>472.74</v>
      </c>
    </row>
    <row r="30" spans="1:16" x14ac:dyDescent="0.3">
      <c r="A30" t="s">
        <v>42</v>
      </c>
      <c r="B30" s="3">
        <v>45251</v>
      </c>
      <c r="C30" s="7" t="str">
        <f t="shared" si="0"/>
        <v>2023</v>
      </c>
      <c r="D30" s="7" t="str">
        <f t="shared" si="1"/>
        <v>Nov</v>
      </c>
      <c r="E30" s="6" t="s">
        <v>1242</v>
      </c>
      <c r="F30" s="5" t="s">
        <v>2404</v>
      </c>
      <c r="G30">
        <v>4</v>
      </c>
      <c r="H30">
        <v>160.07</v>
      </c>
      <c r="I30" s="6" t="s">
        <v>2438</v>
      </c>
      <c r="J30" s="6" t="s">
        <v>3066</v>
      </c>
      <c r="K30" s="6" t="s">
        <v>3074</v>
      </c>
      <c r="L30" t="s">
        <v>3103</v>
      </c>
      <c r="M30">
        <v>5</v>
      </c>
      <c r="N30" t="s">
        <v>4285</v>
      </c>
      <c r="O30" t="s">
        <v>4280</v>
      </c>
      <c r="P30">
        <v>640.28</v>
      </c>
    </row>
    <row r="31" spans="1:16" x14ac:dyDescent="0.3">
      <c r="A31" t="s">
        <v>43</v>
      </c>
      <c r="B31" s="3">
        <v>45555</v>
      </c>
      <c r="C31" s="7" t="str">
        <f t="shared" si="0"/>
        <v>2024</v>
      </c>
      <c r="D31" s="7" t="str">
        <f t="shared" si="1"/>
        <v>Sept</v>
      </c>
      <c r="E31" s="6" t="s">
        <v>1243</v>
      </c>
      <c r="F31" s="5" t="s">
        <v>2409</v>
      </c>
      <c r="G31">
        <v>3</v>
      </c>
      <c r="H31">
        <v>423.53</v>
      </c>
      <c r="I31" s="6" t="s">
        <v>2439</v>
      </c>
      <c r="J31" s="6" t="s">
        <v>3067</v>
      </c>
      <c r="K31" s="6" t="s">
        <v>3073</v>
      </c>
      <c r="L31" t="s">
        <v>3104</v>
      </c>
      <c r="M31">
        <v>6</v>
      </c>
      <c r="N31" t="s">
        <v>4275</v>
      </c>
      <c r="O31" t="s">
        <v>4279</v>
      </c>
      <c r="P31">
        <v>1270.5899999999999</v>
      </c>
    </row>
    <row r="32" spans="1:16" x14ac:dyDescent="0.3">
      <c r="A32" t="s">
        <v>44</v>
      </c>
      <c r="B32" s="3">
        <v>45738</v>
      </c>
      <c r="C32" s="7" t="str">
        <f t="shared" si="0"/>
        <v>2025</v>
      </c>
      <c r="D32" s="7" t="str">
        <f t="shared" si="1"/>
        <v>Mar</v>
      </c>
      <c r="E32" s="6" t="s">
        <v>1244</v>
      </c>
      <c r="F32" s="5" t="s">
        <v>2403</v>
      </c>
      <c r="G32">
        <v>2</v>
      </c>
      <c r="H32">
        <v>426.7</v>
      </c>
      <c r="I32" s="6" t="s">
        <v>2440</v>
      </c>
      <c r="J32" s="6" t="s">
        <v>3066</v>
      </c>
      <c r="K32" s="6" t="s">
        <v>3074</v>
      </c>
      <c r="L32" t="s">
        <v>3105</v>
      </c>
      <c r="M32">
        <v>5</v>
      </c>
      <c r="N32" t="s">
        <v>4275</v>
      </c>
      <c r="O32" t="s">
        <v>4279</v>
      </c>
      <c r="P32">
        <v>853.4</v>
      </c>
    </row>
    <row r="33" spans="1:16" x14ac:dyDescent="0.3">
      <c r="A33" t="s">
        <v>45</v>
      </c>
      <c r="B33" s="3">
        <v>45107</v>
      </c>
      <c r="C33" s="7" t="str">
        <f t="shared" si="0"/>
        <v>2023</v>
      </c>
      <c r="D33" s="7" t="str">
        <f t="shared" si="1"/>
        <v>Jun</v>
      </c>
      <c r="E33" s="6" t="s">
        <v>1245</v>
      </c>
      <c r="F33" s="5" t="s">
        <v>2406</v>
      </c>
      <c r="G33">
        <v>3</v>
      </c>
      <c r="H33">
        <v>500.08</v>
      </c>
      <c r="I33" s="6" t="s">
        <v>2441</v>
      </c>
      <c r="J33" s="6" t="s">
        <v>3065</v>
      </c>
      <c r="K33" s="6" t="s">
        <v>3072</v>
      </c>
      <c r="L33" t="s">
        <v>3106</v>
      </c>
      <c r="M33">
        <v>6</v>
      </c>
      <c r="N33" t="s">
        <v>4285</v>
      </c>
      <c r="O33" t="s">
        <v>4281</v>
      </c>
      <c r="P33">
        <v>1500.24</v>
      </c>
    </row>
    <row r="34" spans="1:16" x14ac:dyDescent="0.3">
      <c r="A34" t="s">
        <v>46</v>
      </c>
      <c r="B34" s="3">
        <v>45047</v>
      </c>
      <c r="C34" s="7" t="str">
        <f t="shared" si="0"/>
        <v>2023</v>
      </c>
      <c r="D34" s="7" t="str">
        <f t="shared" si="1"/>
        <v>May</v>
      </c>
      <c r="E34" s="6" t="s">
        <v>1246</v>
      </c>
      <c r="F34" s="5" t="s">
        <v>2405</v>
      </c>
      <c r="G34">
        <v>5</v>
      </c>
      <c r="H34">
        <v>536.72</v>
      </c>
      <c r="I34" s="6" t="s">
        <v>2442</v>
      </c>
      <c r="J34" s="6" t="s">
        <v>3069</v>
      </c>
      <c r="K34" s="6" t="s">
        <v>3073</v>
      </c>
      <c r="L34" t="s">
        <v>3107</v>
      </c>
      <c r="M34">
        <v>10</v>
      </c>
      <c r="N34" t="s">
        <v>4285</v>
      </c>
      <c r="O34" t="s">
        <v>4280</v>
      </c>
      <c r="P34">
        <v>2683.6</v>
      </c>
    </row>
    <row r="35" spans="1:16" x14ac:dyDescent="0.3">
      <c r="A35" t="s">
        <v>47</v>
      </c>
      <c r="B35" s="3">
        <v>45082</v>
      </c>
      <c r="C35" s="7" t="str">
        <f t="shared" si="0"/>
        <v>2023</v>
      </c>
      <c r="D35" s="7" t="str">
        <f t="shared" si="1"/>
        <v>Jun</v>
      </c>
      <c r="E35" s="6" t="s">
        <v>1247</v>
      </c>
      <c r="F35" s="5" t="s">
        <v>2406</v>
      </c>
      <c r="G35">
        <v>1</v>
      </c>
      <c r="H35">
        <v>162.77000000000001</v>
      </c>
      <c r="I35" s="6" t="s">
        <v>2443</v>
      </c>
      <c r="J35" s="6" t="s">
        <v>3066</v>
      </c>
      <c r="K35" s="6" t="s">
        <v>3071</v>
      </c>
      <c r="L35" t="s">
        <v>3108</v>
      </c>
      <c r="M35">
        <v>4</v>
      </c>
      <c r="N35" t="s">
        <v>4277</v>
      </c>
      <c r="O35" t="s">
        <v>4281</v>
      </c>
      <c r="P35">
        <v>162.77000000000001</v>
      </c>
    </row>
    <row r="36" spans="1:16" x14ac:dyDescent="0.3">
      <c r="A36" t="s">
        <v>48</v>
      </c>
      <c r="B36" s="3">
        <v>44933</v>
      </c>
      <c r="C36" s="7" t="str">
        <f t="shared" si="0"/>
        <v>2023</v>
      </c>
      <c r="D36" s="7" t="str">
        <f t="shared" si="1"/>
        <v>Jan</v>
      </c>
      <c r="E36" s="6" t="s">
        <v>1248</v>
      </c>
      <c r="F36" s="5" t="s">
        <v>2406</v>
      </c>
      <c r="G36">
        <v>4</v>
      </c>
      <c r="H36">
        <v>576.52</v>
      </c>
      <c r="I36" s="6" t="s">
        <v>2444</v>
      </c>
      <c r="J36" s="6" t="s">
        <v>3067</v>
      </c>
      <c r="K36" s="6" t="s">
        <v>3074</v>
      </c>
      <c r="L36" t="s">
        <v>3109</v>
      </c>
      <c r="M36">
        <v>5</v>
      </c>
      <c r="N36" t="s">
        <v>4277</v>
      </c>
      <c r="O36" t="s">
        <v>4281</v>
      </c>
      <c r="P36">
        <v>2306.08</v>
      </c>
    </row>
    <row r="37" spans="1:16" x14ac:dyDescent="0.3">
      <c r="A37" t="s">
        <v>49</v>
      </c>
      <c r="B37" s="3">
        <v>45633</v>
      </c>
      <c r="C37" s="7" t="str">
        <f t="shared" si="0"/>
        <v>2024</v>
      </c>
      <c r="D37" s="7" t="str">
        <f t="shared" si="1"/>
        <v>Dec</v>
      </c>
      <c r="E37" s="6" t="s">
        <v>1249</v>
      </c>
      <c r="F37" s="5" t="s">
        <v>2403</v>
      </c>
      <c r="G37">
        <v>2</v>
      </c>
      <c r="H37">
        <v>465.15</v>
      </c>
      <c r="I37" s="6" t="s">
        <v>2445</v>
      </c>
      <c r="J37" s="6" t="s">
        <v>3066</v>
      </c>
      <c r="K37" s="6" t="s">
        <v>3070</v>
      </c>
      <c r="L37" t="s">
        <v>3110</v>
      </c>
      <c r="M37">
        <v>2</v>
      </c>
      <c r="N37" t="s">
        <v>4275</v>
      </c>
      <c r="O37" t="s">
        <v>4281</v>
      </c>
      <c r="P37">
        <v>930.3</v>
      </c>
    </row>
    <row r="38" spans="1:16" x14ac:dyDescent="0.3">
      <c r="A38" t="s">
        <v>50</v>
      </c>
      <c r="B38" s="3">
        <v>45785</v>
      </c>
      <c r="C38" s="7" t="str">
        <f t="shared" si="0"/>
        <v>2025</v>
      </c>
      <c r="D38" s="7" t="str">
        <f t="shared" si="1"/>
        <v>May</v>
      </c>
      <c r="E38" s="6" t="s">
        <v>1250</v>
      </c>
      <c r="F38" s="5" t="s">
        <v>2408</v>
      </c>
      <c r="G38">
        <v>2</v>
      </c>
      <c r="H38">
        <v>534.42999999999995</v>
      </c>
      <c r="I38" s="6" t="s">
        <v>2446</v>
      </c>
      <c r="J38" s="6" t="s">
        <v>3065</v>
      </c>
      <c r="K38" s="6" t="s">
        <v>3074</v>
      </c>
      <c r="L38" t="s">
        <v>3111</v>
      </c>
      <c r="M38">
        <v>5</v>
      </c>
      <c r="N38" t="s">
        <v>4285</v>
      </c>
      <c r="O38" t="s">
        <v>4281</v>
      </c>
      <c r="P38">
        <v>1068.8599999999999</v>
      </c>
    </row>
    <row r="39" spans="1:16" x14ac:dyDescent="0.3">
      <c r="A39" t="s">
        <v>51</v>
      </c>
      <c r="B39" s="3">
        <v>45579</v>
      </c>
      <c r="C39" s="7" t="str">
        <f t="shared" si="0"/>
        <v>2024</v>
      </c>
      <c r="D39" s="7" t="str">
        <f t="shared" si="1"/>
        <v>Oct</v>
      </c>
      <c r="E39" s="6" t="s">
        <v>1251</v>
      </c>
      <c r="F39" s="5" t="s">
        <v>2408</v>
      </c>
      <c r="G39">
        <v>2</v>
      </c>
      <c r="H39">
        <v>76.739999999999995</v>
      </c>
      <c r="I39" s="6" t="s">
        <v>2447</v>
      </c>
      <c r="J39" s="6" t="s">
        <v>3069</v>
      </c>
      <c r="K39" s="6" t="s">
        <v>3072</v>
      </c>
      <c r="L39" t="s">
        <v>3112</v>
      </c>
      <c r="M39">
        <v>7</v>
      </c>
      <c r="N39" t="s">
        <v>4275</v>
      </c>
      <c r="O39" t="s">
        <v>4278</v>
      </c>
      <c r="P39">
        <v>153.47999999999999</v>
      </c>
    </row>
    <row r="40" spans="1:16" x14ac:dyDescent="0.3">
      <c r="A40" t="s">
        <v>52</v>
      </c>
      <c r="B40" s="3">
        <v>45645</v>
      </c>
      <c r="C40" s="7" t="str">
        <f t="shared" si="0"/>
        <v>2024</v>
      </c>
      <c r="D40" s="7" t="str">
        <f t="shared" si="1"/>
        <v>Dec</v>
      </c>
      <c r="E40" s="6" t="s">
        <v>1252</v>
      </c>
      <c r="F40" s="5" t="s">
        <v>2408</v>
      </c>
      <c r="G40">
        <v>1</v>
      </c>
      <c r="H40">
        <v>245.89</v>
      </c>
      <c r="I40" s="6" t="s">
        <v>2448</v>
      </c>
      <c r="J40" s="6" t="s">
        <v>3065</v>
      </c>
      <c r="K40" s="6" t="s">
        <v>3073</v>
      </c>
      <c r="L40" t="s">
        <v>3113</v>
      </c>
      <c r="M40">
        <v>3</v>
      </c>
      <c r="N40" t="s">
        <v>4275</v>
      </c>
      <c r="O40" t="s">
        <v>4282</v>
      </c>
      <c r="P40">
        <v>245.89</v>
      </c>
    </row>
    <row r="41" spans="1:16" x14ac:dyDescent="0.3">
      <c r="A41" t="s">
        <v>53</v>
      </c>
      <c r="B41" s="3">
        <v>45715</v>
      </c>
      <c r="C41" s="7" t="str">
        <f t="shared" si="0"/>
        <v>2025</v>
      </c>
      <c r="D41" s="7" t="str">
        <f t="shared" si="1"/>
        <v>Feb</v>
      </c>
      <c r="E41" s="6" t="s">
        <v>1253</v>
      </c>
      <c r="F41" s="5" t="s">
        <v>2407</v>
      </c>
      <c r="G41">
        <v>3</v>
      </c>
      <c r="H41">
        <v>256.45999999999998</v>
      </c>
      <c r="I41" s="6" t="s">
        <v>2449</v>
      </c>
      <c r="J41" s="6" t="s">
        <v>3067</v>
      </c>
      <c r="K41" s="6" t="s">
        <v>3073</v>
      </c>
      <c r="L41" t="s">
        <v>3114</v>
      </c>
      <c r="M41">
        <v>4</v>
      </c>
      <c r="N41" t="s">
        <v>4275</v>
      </c>
      <c r="O41" t="s">
        <v>4279</v>
      </c>
      <c r="P41">
        <v>769.37999999999988</v>
      </c>
    </row>
    <row r="42" spans="1:16" x14ac:dyDescent="0.3">
      <c r="A42" t="s">
        <v>54</v>
      </c>
      <c r="B42" s="3">
        <v>45158</v>
      </c>
      <c r="C42" s="7" t="str">
        <f t="shared" si="0"/>
        <v>2023</v>
      </c>
      <c r="D42" s="7" t="str">
        <f t="shared" si="1"/>
        <v>Aug</v>
      </c>
      <c r="E42" s="6" t="s">
        <v>1254</v>
      </c>
      <c r="F42" s="5" t="s">
        <v>2409</v>
      </c>
      <c r="G42">
        <v>2</v>
      </c>
      <c r="H42">
        <v>344.02</v>
      </c>
      <c r="I42" s="6" t="s">
        <v>2450</v>
      </c>
      <c r="J42" s="6" t="s">
        <v>3066</v>
      </c>
      <c r="K42" s="6" t="s">
        <v>3073</v>
      </c>
      <c r="L42" t="s">
        <v>3115</v>
      </c>
      <c r="M42">
        <v>4</v>
      </c>
      <c r="N42" t="s">
        <v>4276</v>
      </c>
      <c r="O42" t="s">
        <v>4278</v>
      </c>
      <c r="P42">
        <v>688.04</v>
      </c>
    </row>
    <row r="43" spans="1:16" x14ac:dyDescent="0.3">
      <c r="A43" t="s">
        <v>55</v>
      </c>
      <c r="B43" s="3">
        <v>45265</v>
      </c>
      <c r="C43" s="7" t="str">
        <f t="shared" si="0"/>
        <v>2023</v>
      </c>
      <c r="D43" s="7" t="str">
        <f t="shared" si="1"/>
        <v>Dec</v>
      </c>
      <c r="E43" s="6" t="s">
        <v>1255</v>
      </c>
      <c r="F43" s="5" t="s">
        <v>2403</v>
      </c>
      <c r="G43">
        <v>3</v>
      </c>
      <c r="H43">
        <v>611.45000000000005</v>
      </c>
      <c r="I43" s="6" t="s">
        <v>2451</v>
      </c>
      <c r="J43" s="6" t="s">
        <v>3068</v>
      </c>
      <c r="K43" s="6" t="s">
        <v>3074</v>
      </c>
      <c r="L43" t="s">
        <v>3116</v>
      </c>
      <c r="M43">
        <v>4</v>
      </c>
      <c r="N43" t="s">
        <v>4276</v>
      </c>
      <c r="O43" t="s">
        <v>4278</v>
      </c>
      <c r="P43">
        <v>1834.35</v>
      </c>
    </row>
    <row r="44" spans="1:16" x14ac:dyDescent="0.3">
      <c r="A44" t="s">
        <v>56</v>
      </c>
      <c r="B44" s="3">
        <v>45418</v>
      </c>
      <c r="C44" s="7" t="str">
        <f t="shared" si="0"/>
        <v>2024</v>
      </c>
      <c r="D44" s="7" t="str">
        <f t="shared" si="1"/>
        <v>May</v>
      </c>
      <c r="E44" s="6" t="s">
        <v>1256</v>
      </c>
      <c r="F44" s="5" t="s">
        <v>2407</v>
      </c>
      <c r="G44">
        <v>2</v>
      </c>
      <c r="H44">
        <v>151.66</v>
      </c>
      <c r="I44" s="6" t="s">
        <v>2424</v>
      </c>
      <c r="J44" s="6" t="s">
        <v>3069</v>
      </c>
      <c r="K44" s="6" t="s">
        <v>3071</v>
      </c>
      <c r="L44" t="s">
        <v>3117</v>
      </c>
      <c r="M44">
        <v>6</v>
      </c>
      <c r="N44" t="s">
        <v>4285</v>
      </c>
      <c r="O44" t="s">
        <v>4278</v>
      </c>
      <c r="P44">
        <v>303.32</v>
      </c>
    </row>
    <row r="45" spans="1:16" x14ac:dyDescent="0.3">
      <c r="A45" t="s">
        <v>57</v>
      </c>
      <c r="B45" s="3">
        <v>45274</v>
      </c>
      <c r="C45" s="7" t="str">
        <f t="shared" si="0"/>
        <v>2023</v>
      </c>
      <c r="D45" s="7" t="str">
        <f t="shared" si="1"/>
        <v>Dec</v>
      </c>
      <c r="E45" s="6" t="s">
        <v>1257</v>
      </c>
      <c r="F45" s="5" t="s">
        <v>2406</v>
      </c>
      <c r="G45">
        <v>3</v>
      </c>
      <c r="H45">
        <v>499.21</v>
      </c>
      <c r="I45" s="6" t="s">
        <v>2452</v>
      </c>
      <c r="J45" s="6" t="s">
        <v>3066</v>
      </c>
      <c r="K45" s="6" t="s">
        <v>3071</v>
      </c>
      <c r="L45" t="s">
        <v>3118</v>
      </c>
      <c r="M45">
        <v>8</v>
      </c>
      <c r="N45" t="s">
        <v>4285</v>
      </c>
      <c r="O45" t="s">
        <v>4278</v>
      </c>
      <c r="P45">
        <v>1497.63</v>
      </c>
    </row>
    <row r="46" spans="1:16" x14ac:dyDescent="0.3">
      <c r="A46" t="s">
        <v>58</v>
      </c>
      <c r="B46" s="3">
        <v>45768</v>
      </c>
      <c r="C46" s="7" t="str">
        <f t="shared" si="0"/>
        <v>2025</v>
      </c>
      <c r="D46" s="7" t="str">
        <f t="shared" si="1"/>
        <v>Apr</v>
      </c>
      <c r="E46" s="6" t="s">
        <v>1258</v>
      </c>
      <c r="F46" s="5" t="s">
        <v>2404</v>
      </c>
      <c r="G46">
        <v>2</v>
      </c>
      <c r="H46">
        <v>550.17999999999995</v>
      </c>
      <c r="I46" s="6" t="s">
        <v>2441</v>
      </c>
      <c r="J46" s="6" t="s">
        <v>3068</v>
      </c>
      <c r="K46" s="6" t="s">
        <v>3072</v>
      </c>
      <c r="L46" t="s">
        <v>3119</v>
      </c>
      <c r="M46">
        <v>3</v>
      </c>
      <c r="N46" t="s">
        <v>4276</v>
      </c>
      <c r="O46" t="s">
        <v>4279</v>
      </c>
      <c r="P46">
        <v>1100.3599999999999</v>
      </c>
    </row>
    <row r="47" spans="1:16" x14ac:dyDescent="0.3">
      <c r="A47" t="s">
        <v>59</v>
      </c>
      <c r="B47" s="3">
        <v>45332</v>
      </c>
      <c r="C47" s="7" t="str">
        <f t="shared" si="0"/>
        <v>2024</v>
      </c>
      <c r="D47" s="7" t="str">
        <f t="shared" si="1"/>
        <v>Feb</v>
      </c>
      <c r="E47" s="6" t="s">
        <v>1259</v>
      </c>
      <c r="F47" s="5" t="s">
        <v>2406</v>
      </c>
      <c r="G47">
        <v>1</v>
      </c>
      <c r="H47">
        <v>317.25</v>
      </c>
      <c r="I47" s="6" t="s">
        <v>2453</v>
      </c>
      <c r="J47" s="6" t="s">
        <v>3065</v>
      </c>
      <c r="K47" s="6" t="s">
        <v>3072</v>
      </c>
      <c r="L47" t="s">
        <v>3120</v>
      </c>
      <c r="M47">
        <v>1</v>
      </c>
      <c r="N47" t="s">
        <v>4275</v>
      </c>
      <c r="O47" t="s">
        <v>4281</v>
      </c>
      <c r="P47">
        <v>317.25</v>
      </c>
    </row>
    <row r="48" spans="1:16" x14ac:dyDescent="0.3">
      <c r="A48" t="s">
        <v>60</v>
      </c>
      <c r="B48" s="3">
        <v>45469</v>
      </c>
      <c r="C48" s="7" t="str">
        <f t="shared" si="0"/>
        <v>2024</v>
      </c>
      <c r="D48" s="7" t="str">
        <f t="shared" si="1"/>
        <v>Jun</v>
      </c>
      <c r="E48" s="6" t="s">
        <v>1260</v>
      </c>
      <c r="F48" s="5" t="s">
        <v>2403</v>
      </c>
      <c r="G48">
        <v>4</v>
      </c>
      <c r="H48">
        <v>550.14</v>
      </c>
      <c r="I48" s="6" t="s">
        <v>2454</v>
      </c>
      <c r="J48" s="6" t="s">
        <v>3065</v>
      </c>
      <c r="K48" s="6" t="s">
        <v>3074</v>
      </c>
      <c r="L48" t="s">
        <v>3121</v>
      </c>
      <c r="M48">
        <v>4</v>
      </c>
      <c r="N48" t="s">
        <v>4276</v>
      </c>
      <c r="O48" t="s">
        <v>4278</v>
      </c>
      <c r="P48">
        <v>2200.56</v>
      </c>
    </row>
    <row r="49" spans="1:16" x14ac:dyDescent="0.3">
      <c r="A49" t="s">
        <v>61</v>
      </c>
      <c r="B49" s="3">
        <v>45126</v>
      </c>
      <c r="C49" s="7" t="str">
        <f t="shared" si="0"/>
        <v>2023</v>
      </c>
      <c r="D49" s="7" t="str">
        <f t="shared" si="1"/>
        <v>Jul</v>
      </c>
      <c r="E49" s="6" t="s">
        <v>1261</v>
      </c>
      <c r="F49" s="5" t="s">
        <v>2409</v>
      </c>
      <c r="G49">
        <v>2</v>
      </c>
      <c r="H49">
        <v>209.94</v>
      </c>
      <c r="I49" s="6" t="s">
        <v>2455</v>
      </c>
      <c r="J49" s="6" t="s">
        <v>3067</v>
      </c>
      <c r="K49" s="6" t="s">
        <v>3072</v>
      </c>
      <c r="L49" t="s">
        <v>3122</v>
      </c>
      <c r="M49">
        <v>3</v>
      </c>
      <c r="N49" t="s">
        <v>4276</v>
      </c>
      <c r="O49" t="s">
        <v>4280</v>
      </c>
      <c r="P49">
        <v>419.88</v>
      </c>
    </row>
    <row r="50" spans="1:16" x14ac:dyDescent="0.3">
      <c r="A50" t="s">
        <v>62</v>
      </c>
      <c r="B50" s="3">
        <v>45164</v>
      </c>
      <c r="C50" s="7" t="str">
        <f t="shared" si="0"/>
        <v>2023</v>
      </c>
      <c r="D50" s="7" t="str">
        <f t="shared" si="1"/>
        <v>Aug</v>
      </c>
      <c r="E50" s="6" t="s">
        <v>1262</v>
      </c>
      <c r="F50" s="5" t="s">
        <v>2403</v>
      </c>
      <c r="G50">
        <v>2</v>
      </c>
      <c r="H50">
        <v>80.77</v>
      </c>
      <c r="I50" s="6" t="s">
        <v>2456</v>
      </c>
      <c r="J50" s="6" t="s">
        <v>3065</v>
      </c>
      <c r="K50" s="6" t="s">
        <v>3070</v>
      </c>
      <c r="L50" t="s">
        <v>3123</v>
      </c>
      <c r="M50">
        <v>4</v>
      </c>
      <c r="N50" t="s">
        <v>4285</v>
      </c>
      <c r="O50" t="s">
        <v>4282</v>
      </c>
      <c r="P50">
        <v>161.54</v>
      </c>
    </row>
    <row r="51" spans="1:16" x14ac:dyDescent="0.3">
      <c r="A51" t="s">
        <v>63</v>
      </c>
      <c r="B51" s="3">
        <v>45206</v>
      </c>
      <c r="C51" s="7" t="str">
        <f t="shared" si="0"/>
        <v>2023</v>
      </c>
      <c r="D51" s="7" t="str">
        <f t="shared" si="1"/>
        <v>Oct</v>
      </c>
      <c r="E51" s="6" t="s">
        <v>1263</v>
      </c>
      <c r="F51" s="5" t="s">
        <v>2407</v>
      </c>
      <c r="G51">
        <v>1</v>
      </c>
      <c r="H51">
        <v>30.44</v>
      </c>
      <c r="I51" s="6" t="s">
        <v>2432</v>
      </c>
      <c r="J51" s="6" t="s">
        <v>3067</v>
      </c>
      <c r="K51" s="6" t="s">
        <v>3070</v>
      </c>
      <c r="L51" t="s">
        <v>3124</v>
      </c>
      <c r="M51">
        <v>1</v>
      </c>
      <c r="N51" t="s">
        <v>4275</v>
      </c>
      <c r="O51" t="s">
        <v>4280</v>
      </c>
      <c r="P51">
        <v>30.44</v>
      </c>
    </row>
    <row r="52" spans="1:16" x14ac:dyDescent="0.3">
      <c r="A52" t="s">
        <v>64</v>
      </c>
      <c r="B52" s="3">
        <v>45138</v>
      </c>
      <c r="C52" s="7" t="str">
        <f t="shared" si="0"/>
        <v>2023</v>
      </c>
      <c r="D52" s="7" t="str">
        <f t="shared" si="1"/>
        <v>Jul</v>
      </c>
      <c r="E52" s="6" t="s">
        <v>1264</v>
      </c>
      <c r="F52" s="5" t="s">
        <v>2405</v>
      </c>
      <c r="G52">
        <v>1</v>
      </c>
      <c r="H52">
        <v>179.22</v>
      </c>
      <c r="I52" s="6" t="s">
        <v>2457</v>
      </c>
      <c r="J52" s="6" t="s">
        <v>3066</v>
      </c>
      <c r="K52" s="6" t="s">
        <v>3071</v>
      </c>
      <c r="L52" t="s">
        <v>3125</v>
      </c>
      <c r="M52">
        <v>6</v>
      </c>
      <c r="N52" t="s">
        <v>4276</v>
      </c>
      <c r="O52" t="s">
        <v>4278</v>
      </c>
      <c r="P52">
        <v>179.22</v>
      </c>
    </row>
    <row r="53" spans="1:16" x14ac:dyDescent="0.3">
      <c r="A53" t="s">
        <v>65</v>
      </c>
      <c r="B53" s="3">
        <v>45656</v>
      </c>
      <c r="C53" s="7" t="str">
        <f t="shared" si="0"/>
        <v>2024</v>
      </c>
      <c r="D53" s="7" t="str">
        <f t="shared" si="1"/>
        <v>Dec</v>
      </c>
      <c r="E53" s="6" t="s">
        <v>1265</v>
      </c>
      <c r="F53" s="5" t="s">
        <v>2405</v>
      </c>
      <c r="G53">
        <v>1</v>
      </c>
      <c r="H53">
        <v>388.33</v>
      </c>
      <c r="I53" s="6" t="s">
        <v>2458</v>
      </c>
      <c r="J53" s="6" t="s">
        <v>3069</v>
      </c>
      <c r="K53" s="6" t="s">
        <v>3072</v>
      </c>
      <c r="L53" t="s">
        <v>3126</v>
      </c>
      <c r="M53">
        <v>2</v>
      </c>
      <c r="N53" t="s">
        <v>4275</v>
      </c>
      <c r="O53" t="s">
        <v>4281</v>
      </c>
      <c r="P53">
        <v>388.33</v>
      </c>
    </row>
    <row r="54" spans="1:16" x14ac:dyDescent="0.3">
      <c r="A54" t="s">
        <v>66</v>
      </c>
      <c r="B54" s="3">
        <v>45543</v>
      </c>
      <c r="C54" s="7" t="str">
        <f t="shared" si="0"/>
        <v>2024</v>
      </c>
      <c r="D54" s="7" t="str">
        <f t="shared" si="1"/>
        <v>Sept</v>
      </c>
      <c r="E54" s="6" t="s">
        <v>1266</v>
      </c>
      <c r="F54" s="5" t="s">
        <v>2405</v>
      </c>
      <c r="G54">
        <v>1</v>
      </c>
      <c r="H54">
        <v>586.44000000000005</v>
      </c>
      <c r="I54" s="6" t="s">
        <v>2459</v>
      </c>
      <c r="J54" s="6" t="s">
        <v>3066</v>
      </c>
      <c r="K54" s="6" t="s">
        <v>3072</v>
      </c>
      <c r="L54" t="s">
        <v>3127</v>
      </c>
      <c r="M54">
        <v>5</v>
      </c>
      <c r="N54" t="s">
        <v>4275</v>
      </c>
      <c r="O54" t="s">
        <v>4281</v>
      </c>
      <c r="P54">
        <v>586.44000000000005</v>
      </c>
    </row>
    <row r="55" spans="1:16" x14ac:dyDescent="0.3">
      <c r="A55" t="s">
        <v>67</v>
      </c>
      <c r="B55" s="3">
        <v>45430</v>
      </c>
      <c r="C55" s="7" t="str">
        <f t="shared" si="0"/>
        <v>2024</v>
      </c>
      <c r="D55" s="7" t="str">
        <f t="shared" si="1"/>
        <v>May</v>
      </c>
      <c r="E55" s="6" t="s">
        <v>1267</v>
      </c>
      <c r="F55" s="5" t="s">
        <v>2404</v>
      </c>
      <c r="G55">
        <v>4</v>
      </c>
      <c r="H55">
        <v>488.78</v>
      </c>
      <c r="I55" s="6" t="s">
        <v>2412</v>
      </c>
      <c r="J55" s="6" t="s">
        <v>3066</v>
      </c>
      <c r="K55" s="6" t="s">
        <v>3072</v>
      </c>
      <c r="L55" t="s">
        <v>3128</v>
      </c>
      <c r="M55">
        <v>5</v>
      </c>
      <c r="N55" t="s">
        <v>4276</v>
      </c>
      <c r="O55" t="s">
        <v>4282</v>
      </c>
      <c r="P55">
        <v>1955.12</v>
      </c>
    </row>
    <row r="56" spans="1:16" x14ac:dyDescent="0.3">
      <c r="A56" t="s">
        <v>68</v>
      </c>
      <c r="B56" s="3">
        <v>45743</v>
      </c>
      <c r="C56" s="7" t="str">
        <f t="shared" si="0"/>
        <v>2025</v>
      </c>
      <c r="D56" s="7" t="str">
        <f t="shared" si="1"/>
        <v>Mar</v>
      </c>
      <c r="E56" s="6" t="s">
        <v>1268</v>
      </c>
      <c r="F56" s="5" t="s">
        <v>2406</v>
      </c>
      <c r="G56">
        <v>1</v>
      </c>
      <c r="H56">
        <v>280.25</v>
      </c>
      <c r="I56" s="6" t="s">
        <v>2460</v>
      </c>
      <c r="J56" s="6" t="s">
        <v>3066</v>
      </c>
      <c r="K56" s="6" t="s">
        <v>3074</v>
      </c>
      <c r="L56" t="s">
        <v>3129</v>
      </c>
      <c r="M56">
        <v>5</v>
      </c>
      <c r="N56" t="s">
        <v>4277</v>
      </c>
      <c r="O56" t="s">
        <v>4280</v>
      </c>
      <c r="P56">
        <v>280.25</v>
      </c>
    </row>
    <row r="57" spans="1:16" x14ac:dyDescent="0.3">
      <c r="A57" t="s">
        <v>69</v>
      </c>
      <c r="B57" s="3">
        <v>45832</v>
      </c>
      <c r="C57" s="7" t="str">
        <f t="shared" si="0"/>
        <v>2025</v>
      </c>
      <c r="D57" s="7" t="str">
        <f t="shared" si="1"/>
        <v>Jun</v>
      </c>
      <c r="E57" s="6" t="s">
        <v>1269</v>
      </c>
      <c r="F57" s="5" t="s">
        <v>2407</v>
      </c>
      <c r="G57">
        <v>3</v>
      </c>
      <c r="H57">
        <v>344.4</v>
      </c>
      <c r="I57" s="6" t="s">
        <v>2461</v>
      </c>
      <c r="J57" s="6" t="s">
        <v>3066</v>
      </c>
      <c r="K57" s="6" t="s">
        <v>3071</v>
      </c>
      <c r="L57" t="s">
        <v>3130</v>
      </c>
      <c r="M57">
        <v>3</v>
      </c>
      <c r="N57" t="s">
        <v>4285</v>
      </c>
      <c r="O57" t="s">
        <v>4281</v>
      </c>
      <c r="P57">
        <v>1033.2</v>
      </c>
    </row>
    <row r="58" spans="1:16" x14ac:dyDescent="0.3">
      <c r="A58" t="s">
        <v>70</v>
      </c>
      <c r="B58" s="3">
        <v>45067</v>
      </c>
      <c r="C58" s="7" t="str">
        <f t="shared" si="0"/>
        <v>2023</v>
      </c>
      <c r="D58" s="7" t="str">
        <f t="shared" si="1"/>
        <v>May</v>
      </c>
      <c r="E58" s="6" t="s">
        <v>1270</v>
      </c>
      <c r="F58" s="5" t="s">
        <v>2405</v>
      </c>
      <c r="G58">
        <v>3</v>
      </c>
      <c r="H58">
        <v>479.21</v>
      </c>
      <c r="I58" s="6" t="s">
        <v>2462</v>
      </c>
      <c r="J58" s="6" t="s">
        <v>3069</v>
      </c>
      <c r="K58" s="6" t="s">
        <v>3071</v>
      </c>
      <c r="L58" t="s">
        <v>3131</v>
      </c>
      <c r="M58">
        <v>5</v>
      </c>
      <c r="N58" t="s">
        <v>4277</v>
      </c>
      <c r="O58" t="s">
        <v>4279</v>
      </c>
      <c r="P58">
        <v>1437.63</v>
      </c>
    </row>
    <row r="59" spans="1:16" x14ac:dyDescent="0.3">
      <c r="A59" t="s">
        <v>71</v>
      </c>
      <c r="B59" s="3">
        <v>44948</v>
      </c>
      <c r="C59" s="7" t="str">
        <f t="shared" si="0"/>
        <v>2023</v>
      </c>
      <c r="D59" s="7" t="str">
        <f t="shared" si="1"/>
        <v>Jan</v>
      </c>
      <c r="E59" s="6" t="s">
        <v>1271</v>
      </c>
      <c r="F59" s="5" t="s">
        <v>2407</v>
      </c>
      <c r="G59">
        <v>5</v>
      </c>
      <c r="H59">
        <v>314.27</v>
      </c>
      <c r="I59" s="6" t="s">
        <v>2463</v>
      </c>
      <c r="J59" s="6" t="s">
        <v>3069</v>
      </c>
      <c r="K59" s="6" t="s">
        <v>3072</v>
      </c>
      <c r="L59" t="s">
        <v>3132</v>
      </c>
      <c r="M59">
        <v>6</v>
      </c>
      <c r="N59" t="s">
        <v>4275</v>
      </c>
      <c r="O59" t="s">
        <v>4278</v>
      </c>
      <c r="P59">
        <v>1571.35</v>
      </c>
    </row>
    <row r="60" spans="1:16" x14ac:dyDescent="0.3">
      <c r="A60" t="s">
        <v>72</v>
      </c>
      <c r="B60" s="3">
        <v>44941</v>
      </c>
      <c r="C60" s="7" t="str">
        <f t="shared" si="0"/>
        <v>2023</v>
      </c>
      <c r="D60" s="7" t="str">
        <f t="shared" si="1"/>
        <v>Jan</v>
      </c>
      <c r="E60" s="6" t="s">
        <v>1272</v>
      </c>
      <c r="F60" s="5" t="s">
        <v>2404</v>
      </c>
      <c r="G60">
        <v>4</v>
      </c>
      <c r="H60">
        <v>474.69</v>
      </c>
      <c r="I60" s="6" t="s">
        <v>2464</v>
      </c>
      <c r="J60" s="6" t="s">
        <v>3068</v>
      </c>
      <c r="K60" s="6" t="s">
        <v>3071</v>
      </c>
      <c r="L60" t="s">
        <v>3133</v>
      </c>
      <c r="M60">
        <v>6</v>
      </c>
      <c r="N60" t="s">
        <v>4275</v>
      </c>
      <c r="O60" t="s">
        <v>4282</v>
      </c>
      <c r="P60">
        <v>1898.76</v>
      </c>
    </row>
    <row r="61" spans="1:16" x14ac:dyDescent="0.3">
      <c r="A61" t="s">
        <v>73</v>
      </c>
      <c r="B61" s="3">
        <v>45546</v>
      </c>
      <c r="C61" s="7" t="str">
        <f t="shared" si="0"/>
        <v>2024</v>
      </c>
      <c r="D61" s="7" t="str">
        <f t="shared" si="1"/>
        <v>Sept</v>
      </c>
      <c r="E61" s="6" t="s">
        <v>1273</v>
      </c>
      <c r="F61" s="5" t="s">
        <v>2406</v>
      </c>
      <c r="G61">
        <v>4</v>
      </c>
      <c r="H61">
        <v>593.27</v>
      </c>
      <c r="I61" s="6" t="s">
        <v>2465</v>
      </c>
      <c r="J61" s="6" t="s">
        <v>3066</v>
      </c>
      <c r="K61" s="6" t="s">
        <v>3070</v>
      </c>
      <c r="L61" t="s">
        <v>3134</v>
      </c>
      <c r="M61">
        <v>5</v>
      </c>
      <c r="N61" t="s">
        <v>4285</v>
      </c>
      <c r="O61" t="s">
        <v>4281</v>
      </c>
      <c r="P61">
        <v>2373.08</v>
      </c>
    </row>
    <row r="62" spans="1:16" x14ac:dyDescent="0.3">
      <c r="A62" t="s">
        <v>74</v>
      </c>
      <c r="B62" s="3">
        <v>45525</v>
      </c>
      <c r="C62" s="7" t="str">
        <f t="shared" si="0"/>
        <v>2024</v>
      </c>
      <c r="D62" s="7" t="str">
        <f t="shared" si="1"/>
        <v>Aug</v>
      </c>
      <c r="E62" s="6" t="s">
        <v>1274</v>
      </c>
      <c r="F62" s="5" t="s">
        <v>2409</v>
      </c>
      <c r="G62">
        <v>1</v>
      </c>
      <c r="H62">
        <v>417.1</v>
      </c>
      <c r="I62" s="6" t="s">
        <v>2466</v>
      </c>
      <c r="J62" s="6" t="s">
        <v>3065</v>
      </c>
      <c r="K62" s="6" t="s">
        <v>3072</v>
      </c>
      <c r="L62" t="s">
        <v>3135</v>
      </c>
      <c r="M62">
        <v>3</v>
      </c>
      <c r="N62" t="s">
        <v>4276</v>
      </c>
      <c r="O62" t="s">
        <v>4279</v>
      </c>
      <c r="P62">
        <v>417.1</v>
      </c>
    </row>
    <row r="63" spans="1:16" x14ac:dyDescent="0.3">
      <c r="A63" t="s">
        <v>75</v>
      </c>
      <c r="B63" s="3">
        <v>45375</v>
      </c>
      <c r="C63" s="7" t="str">
        <f t="shared" si="0"/>
        <v>2024</v>
      </c>
      <c r="D63" s="7" t="str">
        <f t="shared" si="1"/>
        <v>Mar</v>
      </c>
      <c r="E63" s="6" t="s">
        <v>1275</v>
      </c>
      <c r="F63" s="5" t="s">
        <v>2409</v>
      </c>
      <c r="G63">
        <v>4</v>
      </c>
      <c r="H63">
        <v>122.2</v>
      </c>
      <c r="I63" s="6" t="s">
        <v>2467</v>
      </c>
      <c r="J63" s="6" t="s">
        <v>3069</v>
      </c>
      <c r="K63" s="6" t="s">
        <v>3073</v>
      </c>
      <c r="L63" t="s">
        <v>3136</v>
      </c>
      <c r="M63">
        <v>7</v>
      </c>
      <c r="N63" t="s">
        <v>4276</v>
      </c>
      <c r="O63" t="s">
        <v>4281</v>
      </c>
      <c r="P63">
        <v>488.8</v>
      </c>
    </row>
    <row r="64" spans="1:16" x14ac:dyDescent="0.3">
      <c r="A64" t="s">
        <v>76</v>
      </c>
      <c r="B64" s="3">
        <v>45160</v>
      </c>
      <c r="C64" s="7" t="str">
        <f t="shared" si="0"/>
        <v>2023</v>
      </c>
      <c r="D64" s="7" t="str">
        <f t="shared" si="1"/>
        <v>Aug</v>
      </c>
      <c r="E64" s="6" t="s">
        <v>1276</v>
      </c>
      <c r="F64" s="5" t="s">
        <v>2409</v>
      </c>
      <c r="G64">
        <v>2</v>
      </c>
      <c r="H64">
        <v>43.15</v>
      </c>
      <c r="I64" s="6" t="s">
        <v>2468</v>
      </c>
      <c r="J64" s="6" t="s">
        <v>3065</v>
      </c>
      <c r="K64" s="6" t="s">
        <v>3074</v>
      </c>
      <c r="L64" t="s">
        <v>3137</v>
      </c>
      <c r="M64">
        <v>3</v>
      </c>
      <c r="N64" t="s">
        <v>4277</v>
      </c>
      <c r="O64" t="s">
        <v>4280</v>
      </c>
      <c r="P64">
        <v>86.3</v>
      </c>
    </row>
    <row r="65" spans="1:16" x14ac:dyDescent="0.3">
      <c r="A65" t="s">
        <v>77</v>
      </c>
      <c r="B65" s="3">
        <v>45690</v>
      </c>
      <c r="C65" s="7" t="str">
        <f t="shared" si="0"/>
        <v>2025</v>
      </c>
      <c r="D65" s="7" t="str">
        <f t="shared" si="1"/>
        <v>Feb</v>
      </c>
      <c r="E65" s="6" t="s">
        <v>1277</v>
      </c>
      <c r="F65" s="5" t="s">
        <v>2406</v>
      </c>
      <c r="G65">
        <v>1</v>
      </c>
      <c r="H65">
        <v>564.86</v>
      </c>
      <c r="I65" s="6" t="s">
        <v>2469</v>
      </c>
      <c r="J65" s="6" t="s">
        <v>3065</v>
      </c>
      <c r="K65" s="6" t="s">
        <v>3070</v>
      </c>
      <c r="L65" t="s">
        <v>3138</v>
      </c>
      <c r="M65">
        <v>6</v>
      </c>
      <c r="N65" t="s">
        <v>4277</v>
      </c>
      <c r="O65" t="s">
        <v>4279</v>
      </c>
      <c r="P65">
        <v>564.86</v>
      </c>
    </row>
    <row r="66" spans="1:16" x14ac:dyDescent="0.3">
      <c r="A66" t="s">
        <v>78</v>
      </c>
      <c r="B66" s="3">
        <v>45833</v>
      </c>
      <c r="C66" s="7" t="str">
        <f t="shared" ref="C66:C129" si="2">TEXT(B66, "yyyy")</f>
        <v>2025</v>
      </c>
      <c r="D66" s="7" t="str">
        <f t="shared" ref="D66:D129" si="3">TEXT(B66, "MMM")</f>
        <v>Jun</v>
      </c>
      <c r="E66" s="6" t="s">
        <v>1278</v>
      </c>
      <c r="F66" s="5" t="s">
        <v>2407</v>
      </c>
      <c r="G66">
        <v>3</v>
      </c>
      <c r="H66">
        <v>130.61000000000001</v>
      </c>
      <c r="I66" s="6" t="s">
        <v>2470</v>
      </c>
      <c r="J66" s="6" t="s">
        <v>3065</v>
      </c>
      <c r="K66" s="6" t="s">
        <v>3071</v>
      </c>
      <c r="L66" t="s">
        <v>3139</v>
      </c>
      <c r="M66">
        <v>4</v>
      </c>
      <c r="N66" t="s">
        <v>4276</v>
      </c>
      <c r="O66" t="s">
        <v>4281</v>
      </c>
      <c r="P66">
        <v>391.83</v>
      </c>
    </row>
    <row r="67" spans="1:16" x14ac:dyDescent="0.3">
      <c r="A67" t="s">
        <v>79</v>
      </c>
      <c r="B67" s="3">
        <v>45290</v>
      </c>
      <c r="C67" s="7" t="str">
        <f t="shared" si="2"/>
        <v>2023</v>
      </c>
      <c r="D67" s="7" t="str">
        <f t="shared" si="3"/>
        <v>Dec</v>
      </c>
      <c r="E67" s="6" t="s">
        <v>1279</v>
      </c>
      <c r="F67" s="5" t="s">
        <v>2403</v>
      </c>
      <c r="G67">
        <v>5</v>
      </c>
      <c r="H67">
        <v>81.7</v>
      </c>
      <c r="I67" s="6" t="s">
        <v>2471</v>
      </c>
      <c r="J67" s="6" t="s">
        <v>3067</v>
      </c>
      <c r="K67" s="6" t="s">
        <v>3073</v>
      </c>
      <c r="L67" t="s">
        <v>3140</v>
      </c>
      <c r="M67">
        <v>6</v>
      </c>
      <c r="N67" t="s">
        <v>4285</v>
      </c>
      <c r="O67" t="s">
        <v>4278</v>
      </c>
      <c r="P67">
        <v>408.5</v>
      </c>
    </row>
    <row r="68" spans="1:16" x14ac:dyDescent="0.3">
      <c r="A68" t="s">
        <v>80</v>
      </c>
      <c r="B68" s="3">
        <v>45611</v>
      </c>
      <c r="C68" s="7" t="str">
        <f t="shared" si="2"/>
        <v>2024</v>
      </c>
      <c r="D68" s="7" t="str">
        <f t="shared" si="3"/>
        <v>Nov</v>
      </c>
      <c r="E68" s="6" t="s">
        <v>1280</v>
      </c>
      <c r="F68" s="5" t="s">
        <v>2406</v>
      </c>
      <c r="G68">
        <v>5</v>
      </c>
      <c r="H68">
        <v>127.18</v>
      </c>
      <c r="I68" s="6" t="s">
        <v>2472</v>
      </c>
      <c r="J68" s="6" t="s">
        <v>3069</v>
      </c>
      <c r="K68" s="6" t="s">
        <v>3071</v>
      </c>
      <c r="L68" t="s">
        <v>3141</v>
      </c>
      <c r="M68">
        <v>9</v>
      </c>
      <c r="N68" t="s">
        <v>4275</v>
      </c>
      <c r="O68" t="s">
        <v>4279</v>
      </c>
      <c r="P68">
        <v>635.90000000000009</v>
      </c>
    </row>
    <row r="69" spans="1:16" x14ac:dyDescent="0.3">
      <c r="A69" t="s">
        <v>81</v>
      </c>
      <c r="B69" s="3">
        <v>45635</v>
      </c>
      <c r="C69" s="7" t="str">
        <f t="shared" si="2"/>
        <v>2024</v>
      </c>
      <c r="D69" s="7" t="str">
        <f t="shared" si="3"/>
        <v>Dec</v>
      </c>
      <c r="E69" s="6" t="s">
        <v>1281</v>
      </c>
      <c r="F69" s="5" t="s">
        <v>2407</v>
      </c>
      <c r="G69">
        <v>4</v>
      </c>
      <c r="H69">
        <v>12.1</v>
      </c>
      <c r="I69" s="6" t="s">
        <v>2473</v>
      </c>
      <c r="J69" s="6" t="s">
        <v>3065</v>
      </c>
      <c r="K69" s="6" t="s">
        <v>3071</v>
      </c>
      <c r="L69" t="s">
        <v>3142</v>
      </c>
      <c r="M69">
        <v>8</v>
      </c>
      <c r="N69" t="s">
        <v>4285</v>
      </c>
      <c r="O69" t="s">
        <v>4282</v>
      </c>
      <c r="P69">
        <v>48.4</v>
      </c>
    </row>
    <row r="70" spans="1:16" x14ac:dyDescent="0.3">
      <c r="A70" t="s">
        <v>82</v>
      </c>
      <c r="B70" s="3">
        <v>45271</v>
      </c>
      <c r="C70" s="7" t="str">
        <f t="shared" si="2"/>
        <v>2023</v>
      </c>
      <c r="D70" s="7" t="str">
        <f t="shared" si="3"/>
        <v>Dec</v>
      </c>
      <c r="E70" s="6" t="s">
        <v>1282</v>
      </c>
      <c r="F70" s="5" t="s">
        <v>2406</v>
      </c>
      <c r="G70">
        <v>3</v>
      </c>
      <c r="H70">
        <v>490.92</v>
      </c>
      <c r="I70" s="6" t="s">
        <v>2435</v>
      </c>
      <c r="J70" s="6" t="s">
        <v>3067</v>
      </c>
      <c r="K70" s="6" t="s">
        <v>3074</v>
      </c>
      <c r="L70" t="s">
        <v>3143</v>
      </c>
      <c r="M70">
        <v>5</v>
      </c>
      <c r="N70" t="s">
        <v>4276</v>
      </c>
      <c r="O70" t="s">
        <v>4280</v>
      </c>
      <c r="P70">
        <v>1472.76</v>
      </c>
    </row>
    <row r="71" spans="1:16" x14ac:dyDescent="0.3">
      <c r="A71" t="s">
        <v>83</v>
      </c>
      <c r="B71" s="3">
        <v>45057</v>
      </c>
      <c r="C71" s="7" t="str">
        <f t="shared" si="2"/>
        <v>2023</v>
      </c>
      <c r="D71" s="7" t="str">
        <f t="shared" si="3"/>
        <v>May</v>
      </c>
      <c r="E71" s="6" t="s">
        <v>1283</v>
      </c>
      <c r="F71" s="5" t="s">
        <v>2403</v>
      </c>
      <c r="G71">
        <v>3</v>
      </c>
      <c r="H71">
        <v>478.65</v>
      </c>
      <c r="I71" s="6" t="s">
        <v>2474</v>
      </c>
      <c r="J71" s="6" t="s">
        <v>3066</v>
      </c>
      <c r="K71" s="6" t="s">
        <v>3070</v>
      </c>
      <c r="L71" t="s">
        <v>3144</v>
      </c>
      <c r="M71">
        <v>4</v>
      </c>
      <c r="N71" t="s">
        <v>4285</v>
      </c>
      <c r="O71" t="s">
        <v>4279</v>
      </c>
      <c r="P71">
        <v>1435.95</v>
      </c>
    </row>
    <row r="72" spans="1:16" x14ac:dyDescent="0.3">
      <c r="A72" t="s">
        <v>84</v>
      </c>
      <c r="B72" s="3">
        <v>45072</v>
      </c>
      <c r="C72" s="7" t="str">
        <f t="shared" si="2"/>
        <v>2023</v>
      </c>
      <c r="D72" s="7" t="str">
        <f t="shared" si="3"/>
        <v>May</v>
      </c>
      <c r="E72" s="6" t="s">
        <v>1284</v>
      </c>
      <c r="F72" s="5" t="s">
        <v>2409</v>
      </c>
      <c r="G72">
        <v>1</v>
      </c>
      <c r="H72">
        <v>629.21</v>
      </c>
      <c r="I72" s="6" t="s">
        <v>2475</v>
      </c>
      <c r="J72" s="6" t="s">
        <v>3068</v>
      </c>
      <c r="K72" s="6" t="s">
        <v>3074</v>
      </c>
      <c r="L72" t="s">
        <v>3145</v>
      </c>
      <c r="M72">
        <v>2</v>
      </c>
      <c r="N72" t="s">
        <v>4276</v>
      </c>
      <c r="O72" t="s">
        <v>4278</v>
      </c>
      <c r="P72">
        <v>629.21</v>
      </c>
    </row>
    <row r="73" spans="1:16" x14ac:dyDescent="0.3">
      <c r="A73" t="s">
        <v>85</v>
      </c>
      <c r="B73" s="3">
        <v>45818</v>
      </c>
      <c r="C73" s="7" t="str">
        <f t="shared" si="2"/>
        <v>2025</v>
      </c>
      <c r="D73" s="7" t="str">
        <f t="shared" si="3"/>
        <v>Jun</v>
      </c>
      <c r="E73" s="6" t="s">
        <v>1285</v>
      </c>
      <c r="F73" s="5" t="s">
        <v>2403</v>
      </c>
      <c r="G73">
        <v>3</v>
      </c>
      <c r="H73">
        <v>434.45</v>
      </c>
      <c r="I73" s="6" t="s">
        <v>2476</v>
      </c>
      <c r="J73" s="6" t="s">
        <v>3067</v>
      </c>
      <c r="K73" s="6" t="s">
        <v>3074</v>
      </c>
      <c r="L73" t="s">
        <v>3146</v>
      </c>
      <c r="M73">
        <v>4</v>
      </c>
      <c r="N73" t="s">
        <v>4285</v>
      </c>
      <c r="O73" t="s">
        <v>4279</v>
      </c>
      <c r="P73">
        <v>1303.3499999999999</v>
      </c>
    </row>
    <row r="74" spans="1:16" x14ac:dyDescent="0.3">
      <c r="A74" t="s">
        <v>86</v>
      </c>
      <c r="B74" s="3">
        <v>45648</v>
      </c>
      <c r="C74" s="7" t="str">
        <f t="shared" si="2"/>
        <v>2024</v>
      </c>
      <c r="D74" s="7" t="str">
        <f t="shared" si="3"/>
        <v>Dec</v>
      </c>
      <c r="E74" s="6" t="s">
        <v>1286</v>
      </c>
      <c r="F74" s="5" t="s">
        <v>2405</v>
      </c>
      <c r="G74">
        <v>4</v>
      </c>
      <c r="H74">
        <v>589.44000000000005</v>
      </c>
      <c r="I74" s="6" t="s">
        <v>2425</v>
      </c>
      <c r="J74" s="6" t="s">
        <v>3068</v>
      </c>
      <c r="K74" s="6" t="s">
        <v>3072</v>
      </c>
      <c r="L74" t="s">
        <v>3147</v>
      </c>
      <c r="M74">
        <v>5</v>
      </c>
      <c r="N74" t="s">
        <v>4285</v>
      </c>
      <c r="O74" t="s">
        <v>4281</v>
      </c>
      <c r="P74">
        <v>2357.7600000000002</v>
      </c>
    </row>
    <row r="75" spans="1:16" x14ac:dyDescent="0.3">
      <c r="A75" t="s">
        <v>87</v>
      </c>
      <c r="B75" s="3">
        <v>45049</v>
      </c>
      <c r="C75" s="7" t="str">
        <f t="shared" si="2"/>
        <v>2023</v>
      </c>
      <c r="D75" s="7" t="str">
        <f t="shared" si="3"/>
        <v>May</v>
      </c>
      <c r="E75" s="6" t="s">
        <v>1287</v>
      </c>
      <c r="F75" s="5" t="s">
        <v>2403</v>
      </c>
      <c r="G75">
        <v>4</v>
      </c>
      <c r="H75">
        <v>433.45</v>
      </c>
      <c r="I75" s="6" t="s">
        <v>2477</v>
      </c>
      <c r="J75" s="6" t="s">
        <v>3068</v>
      </c>
      <c r="K75" s="6" t="s">
        <v>3071</v>
      </c>
      <c r="L75" t="s">
        <v>3148</v>
      </c>
      <c r="M75">
        <v>4</v>
      </c>
      <c r="N75" t="s">
        <v>4285</v>
      </c>
      <c r="O75" t="s">
        <v>4281</v>
      </c>
      <c r="P75">
        <v>1733.8</v>
      </c>
    </row>
    <row r="76" spans="1:16" x14ac:dyDescent="0.3">
      <c r="A76" t="s">
        <v>88</v>
      </c>
      <c r="B76" s="3">
        <v>45101</v>
      </c>
      <c r="C76" s="7" t="str">
        <f t="shared" si="2"/>
        <v>2023</v>
      </c>
      <c r="D76" s="7" t="str">
        <f t="shared" si="3"/>
        <v>Jun</v>
      </c>
      <c r="E76" s="6" t="s">
        <v>1288</v>
      </c>
      <c r="F76" s="5" t="s">
        <v>2404</v>
      </c>
      <c r="G76">
        <v>5</v>
      </c>
      <c r="H76">
        <v>90.87</v>
      </c>
      <c r="I76" s="6" t="s">
        <v>2478</v>
      </c>
      <c r="J76" s="6" t="s">
        <v>3069</v>
      </c>
      <c r="K76" s="6" t="s">
        <v>3074</v>
      </c>
      <c r="L76" t="s">
        <v>3149</v>
      </c>
      <c r="M76">
        <v>5</v>
      </c>
      <c r="N76" t="s">
        <v>4285</v>
      </c>
      <c r="O76" t="s">
        <v>4278</v>
      </c>
      <c r="P76">
        <v>454.35</v>
      </c>
    </row>
    <row r="77" spans="1:16" x14ac:dyDescent="0.3">
      <c r="A77" t="s">
        <v>89</v>
      </c>
      <c r="B77" s="3">
        <v>45195</v>
      </c>
      <c r="C77" s="7" t="str">
        <f t="shared" si="2"/>
        <v>2023</v>
      </c>
      <c r="D77" s="7" t="str">
        <f t="shared" si="3"/>
        <v>Sept</v>
      </c>
      <c r="E77" s="6" t="s">
        <v>1289</v>
      </c>
      <c r="F77" s="5" t="s">
        <v>2405</v>
      </c>
      <c r="G77">
        <v>3</v>
      </c>
      <c r="H77">
        <v>398.17</v>
      </c>
      <c r="I77" s="6" t="s">
        <v>2479</v>
      </c>
      <c r="J77" s="6" t="s">
        <v>3065</v>
      </c>
      <c r="K77" s="6" t="s">
        <v>3073</v>
      </c>
      <c r="L77" t="s">
        <v>3150</v>
      </c>
      <c r="M77">
        <v>5</v>
      </c>
      <c r="N77" t="s">
        <v>4275</v>
      </c>
      <c r="O77" t="s">
        <v>4280</v>
      </c>
      <c r="P77">
        <v>1194.51</v>
      </c>
    </row>
    <row r="78" spans="1:16" x14ac:dyDescent="0.3">
      <c r="A78" t="s">
        <v>90</v>
      </c>
      <c r="B78" s="3">
        <v>45382</v>
      </c>
      <c r="C78" s="7" t="str">
        <f t="shared" si="2"/>
        <v>2024</v>
      </c>
      <c r="D78" s="7" t="str">
        <f t="shared" si="3"/>
        <v>Mar</v>
      </c>
      <c r="E78" s="6" t="s">
        <v>1290</v>
      </c>
      <c r="F78" s="5" t="s">
        <v>2408</v>
      </c>
      <c r="G78">
        <v>4</v>
      </c>
      <c r="H78">
        <v>382.88</v>
      </c>
      <c r="I78" s="6" t="s">
        <v>2480</v>
      </c>
      <c r="J78" s="6" t="s">
        <v>3069</v>
      </c>
      <c r="K78" s="6" t="s">
        <v>3071</v>
      </c>
      <c r="L78" t="s">
        <v>3151</v>
      </c>
      <c r="M78">
        <v>6</v>
      </c>
      <c r="N78" t="s">
        <v>4277</v>
      </c>
      <c r="O78" t="s">
        <v>4280</v>
      </c>
      <c r="P78">
        <v>1531.52</v>
      </c>
    </row>
    <row r="79" spans="1:16" x14ac:dyDescent="0.3">
      <c r="A79" t="s">
        <v>91</v>
      </c>
      <c r="B79" s="3">
        <v>45436</v>
      </c>
      <c r="C79" s="7" t="str">
        <f t="shared" si="2"/>
        <v>2024</v>
      </c>
      <c r="D79" s="7" t="str">
        <f t="shared" si="3"/>
        <v>May</v>
      </c>
      <c r="E79" s="6" t="s">
        <v>1291</v>
      </c>
      <c r="F79" s="5" t="s">
        <v>2404</v>
      </c>
      <c r="G79">
        <v>1</v>
      </c>
      <c r="H79">
        <v>583.17999999999995</v>
      </c>
      <c r="I79" s="6" t="s">
        <v>2481</v>
      </c>
      <c r="J79" s="6" t="s">
        <v>3067</v>
      </c>
      <c r="K79" s="6" t="s">
        <v>3072</v>
      </c>
      <c r="L79" t="s">
        <v>3152</v>
      </c>
      <c r="M79">
        <v>5</v>
      </c>
      <c r="N79" t="s">
        <v>4285</v>
      </c>
      <c r="O79" t="s">
        <v>4282</v>
      </c>
      <c r="P79">
        <v>583.17999999999995</v>
      </c>
    </row>
    <row r="80" spans="1:16" x14ac:dyDescent="0.3">
      <c r="A80" t="s">
        <v>92</v>
      </c>
      <c r="B80" s="3">
        <v>45510</v>
      </c>
      <c r="C80" s="7" t="str">
        <f t="shared" si="2"/>
        <v>2024</v>
      </c>
      <c r="D80" s="7" t="str">
        <f t="shared" si="3"/>
        <v>Aug</v>
      </c>
      <c r="E80" s="6" t="s">
        <v>1292</v>
      </c>
      <c r="F80" s="5" t="s">
        <v>2407</v>
      </c>
      <c r="G80">
        <v>4</v>
      </c>
      <c r="H80">
        <v>175.36</v>
      </c>
      <c r="I80" s="6" t="s">
        <v>2482</v>
      </c>
      <c r="J80" s="6" t="s">
        <v>3065</v>
      </c>
      <c r="K80" s="6" t="s">
        <v>3073</v>
      </c>
      <c r="L80" t="s">
        <v>3153</v>
      </c>
      <c r="M80">
        <v>4</v>
      </c>
      <c r="N80" t="s">
        <v>4276</v>
      </c>
      <c r="O80" t="s">
        <v>4278</v>
      </c>
      <c r="P80">
        <v>701.44</v>
      </c>
    </row>
    <row r="81" spans="1:16" x14ac:dyDescent="0.3">
      <c r="A81" t="s">
        <v>93</v>
      </c>
      <c r="B81" s="3">
        <v>45726</v>
      </c>
      <c r="C81" s="7" t="str">
        <f t="shared" si="2"/>
        <v>2025</v>
      </c>
      <c r="D81" s="7" t="str">
        <f t="shared" si="3"/>
        <v>Mar</v>
      </c>
      <c r="E81" s="6" t="s">
        <v>1293</v>
      </c>
      <c r="F81" s="5" t="s">
        <v>2405</v>
      </c>
      <c r="G81">
        <v>2</v>
      </c>
      <c r="H81">
        <v>311.91000000000003</v>
      </c>
      <c r="I81" s="6" t="s">
        <v>2483</v>
      </c>
      <c r="J81" s="6" t="s">
        <v>3066</v>
      </c>
      <c r="K81" s="6" t="s">
        <v>3070</v>
      </c>
      <c r="L81" t="s">
        <v>3154</v>
      </c>
      <c r="M81">
        <v>2</v>
      </c>
      <c r="N81" t="s">
        <v>4285</v>
      </c>
      <c r="O81" t="s">
        <v>4281</v>
      </c>
      <c r="P81">
        <v>623.82000000000005</v>
      </c>
    </row>
    <row r="82" spans="1:16" x14ac:dyDescent="0.3">
      <c r="A82" t="s">
        <v>94</v>
      </c>
      <c r="B82" s="3">
        <v>45104</v>
      </c>
      <c r="C82" s="7" t="str">
        <f t="shared" si="2"/>
        <v>2023</v>
      </c>
      <c r="D82" s="7" t="str">
        <f t="shared" si="3"/>
        <v>Jun</v>
      </c>
      <c r="E82" s="6" t="s">
        <v>1294</v>
      </c>
      <c r="F82" s="5" t="s">
        <v>2404</v>
      </c>
      <c r="G82">
        <v>3</v>
      </c>
      <c r="H82">
        <v>589.55999999999995</v>
      </c>
      <c r="I82" s="6" t="s">
        <v>2484</v>
      </c>
      <c r="J82" s="6" t="s">
        <v>3066</v>
      </c>
      <c r="K82" s="6" t="s">
        <v>3072</v>
      </c>
      <c r="L82" t="s">
        <v>3155</v>
      </c>
      <c r="M82">
        <v>6</v>
      </c>
      <c r="N82" t="s">
        <v>4285</v>
      </c>
      <c r="O82" t="s">
        <v>4281</v>
      </c>
      <c r="P82">
        <v>1768.68</v>
      </c>
    </row>
    <row r="83" spans="1:16" x14ac:dyDescent="0.3">
      <c r="A83" t="s">
        <v>95</v>
      </c>
      <c r="B83" s="3">
        <v>45085</v>
      </c>
      <c r="C83" s="7" t="str">
        <f t="shared" si="2"/>
        <v>2023</v>
      </c>
      <c r="D83" s="7" t="str">
        <f t="shared" si="3"/>
        <v>Jun</v>
      </c>
      <c r="E83" s="6" t="s">
        <v>1295</v>
      </c>
      <c r="F83" s="5" t="s">
        <v>2403</v>
      </c>
      <c r="G83">
        <v>2</v>
      </c>
      <c r="H83">
        <v>394.3</v>
      </c>
      <c r="I83" s="6" t="s">
        <v>2485</v>
      </c>
      <c r="J83" s="6" t="s">
        <v>3069</v>
      </c>
      <c r="K83" s="6" t="s">
        <v>3070</v>
      </c>
      <c r="L83" t="s">
        <v>3156</v>
      </c>
      <c r="M83">
        <v>6</v>
      </c>
      <c r="N83" t="s">
        <v>4276</v>
      </c>
      <c r="O83" t="s">
        <v>4280</v>
      </c>
      <c r="P83">
        <v>788.6</v>
      </c>
    </row>
    <row r="84" spans="1:16" x14ac:dyDescent="0.3">
      <c r="A84" t="s">
        <v>96</v>
      </c>
      <c r="B84" s="3">
        <v>45296</v>
      </c>
      <c r="C84" s="7" t="str">
        <f t="shared" si="2"/>
        <v>2024</v>
      </c>
      <c r="D84" s="7" t="str">
        <f t="shared" si="3"/>
        <v>Jan</v>
      </c>
      <c r="E84" s="6" t="s">
        <v>1296</v>
      </c>
      <c r="F84" s="5" t="s">
        <v>2405</v>
      </c>
      <c r="G84">
        <v>4</v>
      </c>
      <c r="H84">
        <v>565.20000000000005</v>
      </c>
      <c r="I84" s="6" t="s">
        <v>2486</v>
      </c>
      <c r="J84" s="6" t="s">
        <v>3065</v>
      </c>
      <c r="K84" s="6" t="s">
        <v>3070</v>
      </c>
      <c r="L84" t="s">
        <v>3157</v>
      </c>
      <c r="M84">
        <v>9</v>
      </c>
      <c r="N84" t="s">
        <v>4275</v>
      </c>
      <c r="O84" t="s">
        <v>4282</v>
      </c>
      <c r="P84">
        <v>2260.8000000000002</v>
      </c>
    </row>
    <row r="85" spans="1:16" x14ac:dyDescent="0.3">
      <c r="A85" t="s">
        <v>97</v>
      </c>
      <c r="B85" s="3">
        <v>45160</v>
      </c>
      <c r="C85" s="7" t="str">
        <f t="shared" si="2"/>
        <v>2023</v>
      </c>
      <c r="D85" s="7" t="str">
        <f t="shared" si="3"/>
        <v>Aug</v>
      </c>
      <c r="E85" s="6" t="s">
        <v>1297</v>
      </c>
      <c r="F85" s="5" t="s">
        <v>2408</v>
      </c>
      <c r="G85">
        <v>4</v>
      </c>
      <c r="H85">
        <v>540.41</v>
      </c>
      <c r="I85" s="6" t="s">
        <v>2487</v>
      </c>
      <c r="J85" s="6" t="s">
        <v>3067</v>
      </c>
      <c r="K85" s="6" t="s">
        <v>3071</v>
      </c>
      <c r="L85" t="s">
        <v>3158</v>
      </c>
      <c r="M85">
        <v>6</v>
      </c>
      <c r="N85" t="s">
        <v>4285</v>
      </c>
      <c r="O85" t="s">
        <v>4279</v>
      </c>
      <c r="P85">
        <v>2161.64</v>
      </c>
    </row>
    <row r="86" spans="1:16" x14ac:dyDescent="0.3">
      <c r="A86" t="s">
        <v>98</v>
      </c>
      <c r="B86" s="3">
        <v>45166</v>
      </c>
      <c r="C86" s="7" t="str">
        <f t="shared" si="2"/>
        <v>2023</v>
      </c>
      <c r="D86" s="7" t="str">
        <f t="shared" si="3"/>
        <v>Aug</v>
      </c>
      <c r="E86" s="6" t="s">
        <v>1298</v>
      </c>
      <c r="F86" s="5" t="s">
        <v>2403</v>
      </c>
      <c r="G86">
        <v>2</v>
      </c>
      <c r="H86">
        <v>165.49</v>
      </c>
      <c r="I86" s="6" t="s">
        <v>2488</v>
      </c>
      <c r="J86" s="6" t="s">
        <v>3066</v>
      </c>
      <c r="K86" s="6" t="s">
        <v>3070</v>
      </c>
      <c r="L86" t="s">
        <v>3159</v>
      </c>
      <c r="M86">
        <v>4</v>
      </c>
      <c r="N86" t="s">
        <v>4277</v>
      </c>
      <c r="O86" t="s">
        <v>4278</v>
      </c>
      <c r="P86">
        <v>330.98</v>
      </c>
    </row>
    <row r="87" spans="1:16" x14ac:dyDescent="0.3">
      <c r="A87" t="s">
        <v>99</v>
      </c>
      <c r="B87" s="3">
        <v>45544</v>
      </c>
      <c r="C87" s="7" t="str">
        <f t="shared" si="2"/>
        <v>2024</v>
      </c>
      <c r="D87" s="7" t="str">
        <f t="shared" si="3"/>
        <v>Sept</v>
      </c>
      <c r="E87" s="6" t="s">
        <v>1299</v>
      </c>
      <c r="F87" s="5" t="s">
        <v>2405</v>
      </c>
      <c r="G87">
        <v>3</v>
      </c>
      <c r="H87">
        <v>146.72999999999999</v>
      </c>
      <c r="I87" s="6" t="s">
        <v>2489</v>
      </c>
      <c r="J87" s="6" t="s">
        <v>3069</v>
      </c>
      <c r="K87" s="6" t="s">
        <v>3073</v>
      </c>
      <c r="L87" t="s">
        <v>3160</v>
      </c>
      <c r="M87">
        <v>8</v>
      </c>
      <c r="N87" t="s">
        <v>4276</v>
      </c>
      <c r="O87" t="s">
        <v>4280</v>
      </c>
      <c r="P87">
        <v>440.18999999999988</v>
      </c>
    </row>
    <row r="88" spans="1:16" x14ac:dyDescent="0.3">
      <c r="A88" t="s">
        <v>100</v>
      </c>
      <c r="B88" s="3">
        <v>45462</v>
      </c>
      <c r="C88" s="7" t="str">
        <f t="shared" si="2"/>
        <v>2024</v>
      </c>
      <c r="D88" s="7" t="str">
        <f t="shared" si="3"/>
        <v>Jun</v>
      </c>
      <c r="E88" s="6" t="s">
        <v>1300</v>
      </c>
      <c r="F88" s="5" t="s">
        <v>2407</v>
      </c>
      <c r="G88">
        <v>5</v>
      </c>
      <c r="H88">
        <v>643.03</v>
      </c>
      <c r="I88" s="6" t="s">
        <v>2490</v>
      </c>
      <c r="J88" s="6" t="s">
        <v>3066</v>
      </c>
      <c r="K88" s="6" t="s">
        <v>3071</v>
      </c>
      <c r="L88" t="s">
        <v>3161</v>
      </c>
      <c r="M88">
        <v>5</v>
      </c>
      <c r="N88" t="s">
        <v>4276</v>
      </c>
      <c r="O88" t="s">
        <v>4279</v>
      </c>
      <c r="P88">
        <v>3215.15</v>
      </c>
    </row>
    <row r="89" spans="1:16" x14ac:dyDescent="0.3">
      <c r="A89" t="s">
        <v>101</v>
      </c>
      <c r="B89" s="3">
        <v>45575</v>
      </c>
      <c r="C89" s="7" t="str">
        <f t="shared" si="2"/>
        <v>2024</v>
      </c>
      <c r="D89" s="7" t="str">
        <f t="shared" si="3"/>
        <v>Oct</v>
      </c>
      <c r="E89" s="6" t="s">
        <v>1301</v>
      </c>
      <c r="F89" s="5" t="s">
        <v>2405</v>
      </c>
      <c r="G89">
        <v>3</v>
      </c>
      <c r="H89">
        <v>225.11</v>
      </c>
      <c r="I89" s="6" t="s">
        <v>2491</v>
      </c>
      <c r="J89" s="6" t="s">
        <v>3069</v>
      </c>
      <c r="K89" s="6" t="s">
        <v>3070</v>
      </c>
      <c r="L89" t="s">
        <v>3162</v>
      </c>
      <c r="M89">
        <v>4</v>
      </c>
      <c r="N89" t="s">
        <v>4275</v>
      </c>
      <c r="O89" t="s">
        <v>4281</v>
      </c>
      <c r="P89">
        <v>675.33</v>
      </c>
    </row>
    <row r="90" spans="1:16" x14ac:dyDescent="0.3">
      <c r="A90" t="s">
        <v>102</v>
      </c>
      <c r="B90" s="3">
        <v>45813</v>
      </c>
      <c r="C90" s="7" t="str">
        <f t="shared" si="2"/>
        <v>2025</v>
      </c>
      <c r="D90" s="7" t="str">
        <f t="shared" si="3"/>
        <v>Jun</v>
      </c>
      <c r="E90" s="6" t="s">
        <v>1302</v>
      </c>
      <c r="F90" s="5" t="s">
        <v>2409</v>
      </c>
      <c r="G90">
        <v>3</v>
      </c>
      <c r="H90">
        <v>114.81</v>
      </c>
      <c r="I90" s="6" t="s">
        <v>2492</v>
      </c>
      <c r="J90" s="6" t="s">
        <v>3068</v>
      </c>
      <c r="K90" s="6" t="s">
        <v>3071</v>
      </c>
      <c r="L90" t="s">
        <v>3163</v>
      </c>
      <c r="M90">
        <v>7</v>
      </c>
      <c r="N90" t="s">
        <v>4285</v>
      </c>
      <c r="O90" t="s">
        <v>4282</v>
      </c>
      <c r="P90">
        <v>344.43</v>
      </c>
    </row>
    <row r="91" spans="1:16" x14ac:dyDescent="0.3">
      <c r="A91" t="s">
        <v>103</v>
      </c>
      <c r="B91" s="3">
        <v>45713</v>
      </c>
      <c r="C91" s="7" t="str">
        <f t="shared" si="2"/>
        <v>2025</v>
      </c>
      <c r="D91" s="7" t="str">
        <f t="shared" si="3"/>
        <v>Feb</v>
      </c>
      <c r="E91" s="6" t="s">
        <v>1303</v>
      </c>
      <c r="F91" s="5" t="s">
        <v>2407</v>
      </c>
      <c r="G91">
        <v>5</v>
      </c>
      <c r="H91">
        <v>455.33</v>
      </c>
      <c r="I91" s="6" t="s">
        <v>2493</v>
      </c>
      <c r="J91" s="6" t="s">
        <v>3067</v>
      </c>
      <c r="K91" s="6" t="s">
        <v>3071</v>
      </c>
      <c r="L91" t="s">
        <v>3164</v>
      </c>
      <c r="M91">
        <v>8</v>
      </c>
      <c r="N91" t="s">
        <v>4276</v>
      </c>
      <c r="O91" t="s">
        <v>4282</v>
      </c>
      <c r="P91">
        <v>2276.65</v>
      </c>
    </row>
    <row r="92" spans="1:16" x14ac:dyDescent="0.3">
      <c r="A92" t="s">
        <v>104</v>
      </c>
      <c r="B92" s="3">
        <v>45187</v>
      </c>
      <c r="C92" s="7" t="str">
        <f t="shared" si="2"/>
        <v>2023</v>
      </c>
      <c r="D92" s="7" t="str">
        <f t="shared" si="3"/>
        <v>Sept</v>
      </c>
      <c r="E92" s="6" t="s">
        <v>1304</v>
      </c>
      <c r="F92" s="5" t="s">
        <v>2406</v>
      </c>
      <c r="G92">
        <v>4</v>
      </c>
      <c r="H92">
        <v>182.08</v>
      </c>
      <c r="I92" s="6" t="s">
        <v>2494</v>
      </c>
      <c r="J92" s="6" t="s">
        <v>3068</v>
      </c>
      <c r="K92" s="6" t="s">
        <v>3073</v>
      </c>
      <c r="L92" t="s">
        <v>3165</v>
      </c>
      <c r="M92">
        <v>4</v>
      </c>
      <c r="N92" t="s">
        <v>4275</v>
      </c>
      <c r="O92" t="s">
        <v>4280</v>
      </c>
      <c r="P92">
        <v>728.32</v>
      </c>
    </row>
    <row r="93" spans="1:16" x14ac:dyDescent="0.3">
      <c r="A93" t="s">
        <v>105</v>
      </c>
      <c r="B93" s="3">
        <v>45000</v>
      </c>
      <c r="C93" s="7" t="str">
        <f t="shared" si="2"/>
        <v>2023</v>
      </c>
      <c r="D93" s="7" t="str">
        <f t="shared" si="3"/>
        <v>Mar</v>
      </c>
      <c r="E93" s="6" t="s">
        <v>1305</v>
      </c>
      <c r="F93" s="5" t="s">
        <v>2408</v>
      </c>
      <c r="G93">
        <v>5</v>
      </c>
      <c r="H93">
        <v>492.75</v>
      </c>
      <c r="I93" s="6" t="s">
        <v>2495</v>
      </c>
      <c r="J93" s="6" t="s">
        <v>3069</v>
      </c>
      <c r="K93" s="6" t="s">
        <v>3070</v>
      </c>
      <c r="L93" t="s">
        <v>3166</v>
      </c>
      <c r="M93">
        <v>6</v>
      </c>
      <c r="N93" t="s">
        <v>4277</v>
      </c>
      <c r="O93" t="s">
        <v>4279</v>
      </c>
      <c r="P93">
        <v>2463.75</v>
      </c>
    </row>
    <row r="94" spans="1:16" x14ac:dyDescent="0.3">
      <c r="A94" t="s">
        <v>106</v>
      </c>
      <c r="B94" s="3">
        <v>45453</v>
      </c>
      <c r="C94" s="7" t="str">
        <f t="shared" si="2"/>
        <v>2024</v>
      </c>
      <c r="D94" s="7" t="str">
        <f t="shared" si="3"/>
        <v>Jun</v>
      </c>
      <c r="E94" s="6" t="s">
        <v>1306</v>
      </c>
      <c r="F94" s="5" t="s">
        <v>2407</v>
      </c>
      <c r="G94">
        <v>4</v>
      </c>
      <c r="H94">
        <v>48.61</v>
      </c>
      <c r="I94" s="6" t="s">
        <v>2496</v>
      </c>
      <c r="J94" s="6" t="s">
        <v>3066</v>
      </c>
      <c r="K94" s="6" t="s">
        <v>3070</v>
      </c>
      <c r="L94" t="s">
        <v>3167</v>
      </c>
      <c r="M94">
        <v>7</v>
      </c>
      <c r="N94" t="s">
        <v>4276</v>
      </c>
      <c r="O94" t="s">
        <v>4281</v>
      </c>
      <c r="P94">
        <v>194.44</v>
      </c>
    </row>
    <row r="95" spans="1:16" x14ac:dyDescent="0.3">
      <c r="A95" t="s">
        <v>107</v>
      </c>
      <c r="B95" s="3">
        <v>44940</v>
      </c>
      <c r="C95" s="7" t="str">
        <f t="shared" si="2"/>
        <v>2023</v>
      </c>
      <c r="D95" s="7" t="str">
        <f t="shared" si="3"/>
        <v>Jan</v>
      </c>
      <c r="E95" s="6" t="s">
        <v>1307</v>
      </c>
      <c r="F95" s="5" t="s">
        <v>2409</v>
      </c>
      <c r="G95">
        <v>4</v>
      </c>
      <c r="H95">
        <v>431.01</v>
      </c>
      <c r="I95" s="6" t="s">
        <v>2497</v>
      </c>
      <c r="J95" s="6" t="s">
        <v>3067</v>
      </c>
      <c r="K95" s="6" t="s">
        <v>3072</v>
      </c>
      <c r="L95" t="s">
        <v>3168</v>
      </c>
      <c r="M95">
        <v>7</v>
      </c>
      <c r="N95" t="s">
        <v>4285</v>
      </c>
      <c r="O95" t="s">
        <v>4279</v>
      </c>
      <c r="P95">
        <v>1724.04</v>
      </c>
    </row>
    <row r="96" spans="1:16" x14ac:dyDescent="0.3">
      <c r="A96" t="s">
        <v>108</v>
      </c>
      <c r="B96" s="3">
        <v>44968</v>
      </c>
      <c r="C96" s="7" t="str">
        <f t="shared" si="2"/>
        <v>2023</v>
      </c>
      <c r="D96" s="7" t="str">
        <f t="shared" si="3"/>
        <v>Feb</v>
      </c>
      <c r="E96" s="6" t="s">
        <v>1308</v>
      </c>
      <c r="F96" s="5" t="s">
        <v>2406</v>
      </c>
      <c r="G96">
        <v>1</v>
      </c>
      <c r="H96">
        <v>531.17999999999995</v>
      </c>
      <c r="I96" s="6" t="s">
        <v>2498</v>
      </c>
      <c r="J96" s="6" t="s">
        <v>3068</v>
      </c>
      <c r="K96" s="6" t="s">
        <v>3072</v>
      </c>
      <c r="L96" t="s">
        <v>3169</v>
      </c>
      <c r="M96">
        <v>6</v>
      </c>
      <c r="N96" t="s">
        <v>4277</v>
      </c>
      <c r="O96" t="s">
        <v>4278</v>
      </c>
      <c r="P96">
        <v>531.17999999999995</v>
      </c>
    </row>
    <row r="97" spans="1:16" x14ac:dyDescent="0.3">
      <c r="A97" t="s">
        <v>109</v>
      </c>
      <c r="B97" s="3">
        <v>45009</v>
      </c>
      <c r="C97" s="7" t="str">
        <f t="shared" si="2"/>
        <v>2023</v>
      </c>
      <c r="D97" s="7" t="str">
        <f t="shared" si="3"/>
        <v>Mar</v>
      </c>
      <c r="E97" s="6" t="s">
        <v>1309</v>
      </c>
      <c r="F97" s="5" t="s">
        <v>2407</v>
      </c>
      <c r="G97">
        <v>4</v>
      </c>
      <c r="H97">
        <v>117.51</v>
      </c>
      <c r="I97" s="6" t="s">
        <v>2499</v>
      </c>
      <c r="J97" s="6" t="s">
        <v>3065</v>
      </c>
      <c r="K97" s="6" t="s">
        <v>3072</v>
      </c>
      <c r="L97" t="s">
        <v>3170</v>
      </c>
      <c r="M97">
        <v>7</v>
      </c>
      <c r="N97" t="s">
        <v>4285</v>
      </c>
      <c r="O97" t="s">
        <v>4279</v>
      </c>
      <c r="P97">
        <v>470.04</v>
      </c>
    </row>
    <row r="98" spans="1:16" x14ac:dyDescent="0.3">
      <c r="A98" t="s">
        <v>110</v>
      </c>
      <c r="B98" s="3">
        <v>45444</v>
      </c>
      <c r="C98" s="7" t="str">
        <f t="shared" si="2"/>
        <v>2024</v>
      </c>
      <c r="D98" s="7" t="str">
        <f t="shared" si="3"/>
        <v>Jun</v>
      </c>
      <c r="E98" s="6" t="s">
        <v>1310</v>
      </c>
      <c r="F98" s="5" t="s">
        <v>2404</v>
      </c>
      <c r="G98">
        <v>2</v>
      </c>
      <c r="H98">
        <v>232.83</v>
      </c>
      <c r="I98" s="6" t="s">
        <v>2483</v>
      </c>
      <c r="J98" s="6" t="s">
        <v>3068</v>
      </c>
      <c r="K98" s="6" t="s">
        <v>3073</v>
      </c>
      <c r="L98" t="s">
        <v>3171</v>
      </c>
      <c r="M98">
        <v>7</v>
      </c>
      <c r="N98" t="s">
        <v>4285</v>
      </c>
      <c r="O98" t="s">
        <v>4278</v>
      </c>
      <c r="P98">
        <v>465.66</v>
      </c>
    </row>
    <row r="99" spans="1:16" x14ac:dyDescent="0.3">
      <c r="A99" t="s">
        <v>111</v>
      </c>
      <c r="B99" s="3">
        <v>45678</v>
      </c>
      <c r="C99" s="7" t="str">
        <f t="shared" si="2"/>
        <v>2025</v>
      </c>
      <c r="D99" s="7" t="str">
        <f t="shared" si="3"/>
        <v>Jan</v>
      </c>
      <c r="E99" s="6" t="s">
        <v>1311</v>
      </c>
      <c r="F99" s="5" t="s">
        <v>2405</v>
      </c>
      <c r="G99">
        <v>5</v>
      </c>
      <c r="H99">
        <v>619.52</v>
      </c>
      <c r="I99" s="6" t="s">
        <v>2500</v>
      </c>
      <c r="J99" s="6" t="s">
        <v>3065</v>
      </c>
      <c r="K99" s="6" t="s">
        <v>3074</v>
      </c>
      <c r="L99" t="s">
        <v>3172</v>
      </c>
      <c r="M99">
        <v>9</v>
      </c>
      <c r="N99" t="s">
        <v>4285</v>
      </c>
      <c r="O99" t="s">
        <v>4280</v>
      </c>
      <c r="P99">
        <v>3097.6</v>
      </c>
    </row>
    <row r="100" spans="1:16" x14ac:dyDescent="0.3">
      <c r="A100" t="s">
        <v>112</v>
      </c>
      <c r="B100" s="3">
        <v>44940</v>
      </c>
      <c r="C100" s="7" t="str">
        <f t="shared" si="2"/>
        <v>2023</v>
      </c>
      <c r="D100" s="7" t="str">
        <f t="shared" si="3"/>
        <v>Jan</v>
      </c>
      <c r="E100" s="6" t="s">
        <v>1312</v>
      </c>
      <c r="F100" s="5" t="s">
        <v>2407</v>
      </c>
      <c r="G100">
        <v>2</v>
      </c>
      <c r="H100">
        <v>228.54</v>
      </c>
      <c r="I100" s="6" t="s">
        <v>2501</v>
      </c>
      <c r="J100" s="6" t="s">
        <v>3065</v>
      </c>
      <c r="K100" s="6" t="s">
        <v>3074</v>
      </c>
      <c r="L100" t="s">
        <v>3173</v>
      </c>
      <c r="M100">
        <v>3</v>
      </c>
      <c r="N100" t="s">
        <v>4285</v>
      </c>
      <c r="O100" t="s">
        <v>4280</v>
      </c>
      <c r="P100">
        <v>457.08</v>
      </c>
    </row>
    <row r="101" spans="1:16" x14ac:dyDescent="0.3">
      <c r="A101" t="s">
        <v>113</v>
      </c>
      <c r="B101" s="3">
        <v>45759</v>
      </c>
      <c r="C101" s="7" t="str">
        <f t="shared" si="2"/>
        <v>2025</v>
      </c>
      <c r="D101" s="7" t="str">
        <f t="shared" si="3"/>
        <v>Apr</v>
      </c>
      <c r="E101" s="6" t="s">
        <v>1313</v>
      </c>
      <c r="F101" s="5" t="s">
        <v>2407</v>
      </c>
      <c r="G101">
        <v>1</v>
      </c>
      <c r="H101">
        <v>201.58</v>
      </c>
      <c r="I101" s="6" t="s">
        <v>2502</v>
      </c>
      <c r="J101" s="6" t="s">
        <v>3065</v>
      </c>
      <c r="K101" s="6" t="s">
        <v>3071</v>
      </c>
      <c r="L101" t="s">
        <v>3174</v>
      </c>
      <c r="M101">
        <v>2</v>
      </c>
      <c r="N101" t="s">
        <v>4277</v>
      </c>
      <c r="O101" t="s">
        <v>4280</v>
      </c>
      <c r="P101">
        <v>201.58</v>
      </c>
    </row>
    <row r="102" spans="1:16" x14ac:dyDescent="0.3">
      <c r="A102" t="s">
        <v>114</v>
      </c>
      <c r="B102" s="3">
        <v>44974</v>
      </c>
      <c r="C102" s="7" t="str">
        <f t="shared" si="2"/>
        <v>2023</v>
      </c>
      <c r="D102" s="7" t="str">
        <f t="shared" si="3"/>
        <v>Feb</v>
      </c>
      <c r="E102" s="6" t="s">
        <v>1314</v>
      </c>
      <c r="F102" s="5" t="s">
        <v>2404</v>
      </c>
      <c r="G102">
        <v>3</v>
      </c>
      <c r="H102">
        <v>664.79</v>
      </c>
      <c r="I102" s="6" t="s">
        <v>2503</v>
      </c>
      <c r="J102" s="6" t="s">
        <v>3066</v>
      </c>
      <c r="K102" s="6" t="s">
        <v>3073</v>
      </c>
      <c r="L102" t="s">
        <v>3175</v>
      </c>
      <c r="M102">
        <v>6</v>
      </c>
      <c r="N102" t="s">
        <v>4285</v>
      </c>
      <c r="O102" t="s">
        <v>4281</v>
      </c>
      <c r="P102">
        <v>1994.37</v>
      </c>
    </row>
    <row r="103" spans="1:16" x14ac:dyDescent="0.3">
      <c r="A103" t="s">
        <v>115</v>
      </c>
      <c r="B103" s="3">
        <v>45255</v>
      </c>
      <c r="C103" s="7" t="str">
        <f t="shared" si="2"/>
        <v>2023</v>
      </c>
      <c r="D103" s="7" t="str">
        <f t="shared" si="3"/>
        <v>Nov</v>
      </c>
      <c r="E103" s="6" t="s">
        <v>1315</v>
      </c>
      <c r="F103" s="5" t="s">
        <v>2407</v>
      </c>
      <c r="G103">
        <v>1</v>
      </c>
      <c r="H103">
        <v>381.02</v>
      </c>
      <c r="I103" s="6" t="s">
        <v>2504</v>
      </c>
      <c r="J103" s="6" t="s">
        <v>3069</v>
      </c>
      <c r="K103" s="6" t="s">
        <v>3070</v>
      </c>
      <c r="L103" t="s">
        <v>3176</v>
      </c>
      <c r="M103">
        <v>6</v>
      </c>
      <c r="N103" t="s">
        <v>4285</v>
      </c>
      <c r="O103" t="s">
        <v>4282</v>
      </c>
      <c r="P103">
        <v>381.02</v>
      </c>
    </row>
    <row r="104" spans="1:16" x14ac:dyDescent="0.3">
      <c r="A104" t="s">
        <v>116</v>
      </c>
      <c r="B104" s="3">
        <v>44993</v>
      </c>
      <c r="C104" s="7" t="str">
        <f t="shared" si="2"/>
        <v>2023</v>
      </c>
      <c r="D104" s="7" t="str">
        <f t="shared" si="3"/>
        <v>Mar</v>
      </c>
      <c r="E104" s="6" t="s">
        <v>1316</v>
      </c>
      <c r="F104" s="5" t="s">
        <v>2408</v>
      </c>
      <c r="G104">
        <v>2</v>
      </c>
      <c r="H104">
        <v>70.34</v>
      </c>
      <c r="I104" s="6" t="s">
        <v>2505</v>
      </c>
      <c r="J104" s="6" t="s">
        <v>3068</v>
      </c>
      <c r="K104" s="6" t="s">
        <v>3071</v>
      </c>
      <c r="L104" t="s">
        <v>3177</v>
      </c>
      <c r="M104">
        <v>3</v>
      </c>
      <c r="N104" t="s">
        <v>4276</v>
      </c>
      <c r="O104" t="s">
        <v>4280</v>
      </c>
      <c r="P104">
        <v>140.68</v>
      </c>
    </row>
    <row r="105" spans="1:16" x14ac:dyDescent="0.3">
      <c r="A105" t="s">
        <v>117</v>
      </c>
      <c r="B105" s="3">
        <v>45682</v>
      </c>
      <c r="C105" s="7" t="str">
        <f t="shared" si="2"/>
        <v>2025</v>
      </c>
      <c r="D105" s="7" t="str">
        <f t="shared" si="3"/>
        <v>Jan</v>
      </c>
      <c r="E105" s="6" t="s">
        <v>1317</v>
      </c>
      <c r="F105" s="5" t="s">
        <v>2404</v>
      </c>
      <c r="G105">
        <v>4</v>
      </c>
      <c r="H105">
        <v>218.43</v>
      </c>
      <c r="I105" s="6" t="s">
        <v>2506</v>
      </c>
      <c r="J105" s="6" t="s">
        <v>3067</v>
      </c>
      <c r="K105" s="6" t="s">
        <v>3071</v>
      </c>
      <c r="L105" t="s">
        <v>3178</v>
      </c>
      <c r="M105">
        <v>9</v>
      </c>
      <c r="N105" t="s">
        <v>4275</v>
      </c>
      <c r="O105" t="s">
        <v>4280</v>
      </c>
      <c r="P105">
        <v>873.72</v>
      </c>
    </row>
    <row r="106" spans="1:16" x14ac:dyDescent="0.3">
      <c r="A106" t="s">
        <v>118</v>
      </c>
      <c r="B106" s="3">
        <v>45503</v>
      </c>
      <c r="C106" s="7" t="str">
        <f t="shared" si="2"/>
        <v>2024</v>
      </c>
      <c r="D106" s="7" t="str">
        <f t="shared" si="3"/>
        <v>Jul</v>
      </c>
      <c r="E106" s="6" t="s">
        <v>1318</v>
      </c>
      <c r="F106" s="5" t="s">
        <v>2404</v>
      </c>
      <c r="G106">
        <v>1</v>
      </c>
      <c r="H106">
        <v>582.04</v>
      </c>
      <c r="I106" s="6" t="s">
        <v>2507</v>
      </c>
      <c r="J106" s="6" t="s">
        <v>3068</v>
      </c>
      <c r="K106" s="6" t="s">
        <v>3073</v>
      </c>
      <c r="L106" t="s">
        <v>3179</v>
      </c>
      <c r="M106">
        <v>1</v>
      </c>
      <c r="N106" t="s">
        <v>4276</v>
      </c>
      <c r="O106" t="s">
        <v>4280</v>
      </c>
      <c r="P106">
        <v>582.04</v>
      </c>
    </row>
    <row r="107" spans="1:16" x14ac:dyDescent="0.3">
      <c r="A107" t="s">
        <v>119</v>
      </c>
      <c r="B107" s="3">
        <v>45589</v>
      </c>
      <c r="C107" s="7" t="str">
        <f t="shared" si="2"/>
        <v>2024</v>
      </c>
      <c r="D107" s="7" t="str">
        <f t="shared" si="3"/>
        <v>Oct</v>
      </c>
      <c r="E107" s="6" t="s">
        <v>1319</v>
      </c>
      <c r="F107" s="5" t="s">
        <v>2407</v>
      </c>
      <c r="G107">
        <v>3</v>
      </c>
      <c r="H107">
        <v>185.4</v>
      </c>
      <c r="I107" s="6" t="s">
        <v>2508</v>
      </c>
      <c r="J107" s="6" t="s">
        <v>3068</v>
      </c>
      <c r="K107" s="6" t="s">
        <v>3071</v>
      </c>
      <c r="L107" t="s">
        <v>3180</v>
      </c>
      <c r="M107">
        <v>7</v>
      </c>
      <c r="N107" t="s">
        <v>4285</v>
      </c>
      <c r="O107" t="s">
        <v>4281</v>
      </c>
      <c r="P107">
        <v>556.20000000000005</v>
      </c>
    </row>
    <row r="108" spans="1:16" x14ac:dyDescent="0.3">
      <c r="A108" t="s">
        <v>120</v>
      </c>
      <c r="B108" s="3">
        <v>45177</v>
      </c>
      <c r="C108" s="7" t="str">
        <f t="shared" si="2"/>
        <v>2023</v>
      </c>
      <c r="D108" s="7" t="str">
        <f t="shared" si="3"/>
        <v>Sept</v>
      </c>
      <c r="E108" s="6" t="s">
        <v>1320</v>
      </c>
      <c r="F108" s="5" t="s">
        <v>2409</v>
      </c>
      <c r="G108">
        <v>3</v>
      </c>
      <c r="H108">
        <v>465.05</v>
      </c>
      <c r="I108" s="6" t="s">
        <v>2509</v>
      </c>
      <c r="J108" s="6" t="s">
        <v>3067</v>
      </c>
      <c r="K108" s="6" t="s">
        <v>3071</v>
      </c>
      <c r="L108" t="s">
        <v>3181</v>
      </c>
      <c r="M108">
        <v>3</v>
      </c>
      <c r="N108" t="s">
        <v>4275</v>
      </c>
      <c r="O108" t="s">
        <v>4280</v>
      </c>
      <c r="P108">
        <v>1395.15</v>
      </c>
    </row>
    <row r="109" spans="1:16" x14ac:dyDescent="0.3">
      <c r="A109" t="s">
        <v>121</v>
      </c>
      <c r="B109" s="3">
        <v>45012</v>
      </c>
      <c r="C109" s="7" t="str">
        <f t="shared" si="2"/>
        <v>2023</v>
      </c>
      <c r="D109" s="7" t="str">
        <f t="shared" si="3"/>
        <v>Mar</v>
      </c>
      <c r="E109" s="6" t="s">
        <v>1321</v>
      </c>
      <c r="F109" s="5" t="s">
        <v>2407</v>
      </c>
      <c r="G109">
        <v>5</v>
      </c>
      <c r="H109">
        <v>670.75</v>
      </c>
      <c r="I109" s="6" t="s">
        <v>2510</v>
      </c>
      <c r="J109" s="6" t="s">
        <v>3068</v>
      </c>
      <c r="K109" s="6" t="s">
        <v>3070</v>
      </c>
      <c r="L109" t="s">
        <v>3182</v>
      </c>
      <c r="M109">
        <v>8</v>
      </c>
      <c r="N109" t="s">
        <v>4276</v>
      </c>
      <c r="O109" t="s">
        <v>4278</v>
      </c>
      <c r="P109">
        <v>3353.75</v>
      </c>
    </row>
    <row r="110" spans="1:16" x14ac:dyDescent="0.3">
      <c r="A110" t="s">
        <v>122</v>
      </c>
      <c r="B110" s="3">
        <v>45654</v>
      </c>
      <c r="C110" s="7" t="str">
        <f t="shared" si="2"/>
        <v>2024</v>
      </c>
      <c r="D110" s="7" t="str">
        <f t="shared" si="3"/>
        <v>Dec</v>
      </c>
      <c r="E110" s="6" t="s">
        <v>1322</v>
      </c>
      <c r="F110" s="5" t="s">
        <v>2408</v>
      </c>
      <c r="G110">
        <v>5</v>
      </c>
      <c r="H110">
        <v>48.38</v>
      </c>
      <c r="I110" s="6" t="s">
        <v>2511</v>
      </c>
      <c r="J110" s="6" t="s">
        <v>3068</v>
      </c>
      <c r="K110" s="6" t="s">
        <v>3073</v>
      </c>
      <c r="L110" t="s">
        <v>3183</v>
      </c>
      <c r="M110">
        <v>9</v>
      </c>
      <c r="N110" t="s">
        <v>4277</v>
      </c>
      <c r="O110" t="s">
        <v>4280</v>
      </c>
      <c r="P110">
        <v>241.9</v>
      </c>
    </row>
    <row r="111" spans="1:16" x14ac:dyDescent="0.3">
      <c r="A111" t="s">
        <v>123</v>
      </c>
      <c r="B111" s="3">
        <v>45186</v>
      </c>
      <c r="C111" s="7" t="str">
        <f t="shared" si="2"/>
        <v>2023</v>
      </c>
      <c r="D111" s="7" t="str">
        <f t="shared" si="3"/>
        <v>Sept</v>
      </c>
      <c r="E111" s="6" t="s">
        <v>1323</v>
      </c>
      <c r="F111" s="5" t="s">
        <v>2409</v>
      </c>
      <c r="G111">
        <v>3</v>
      </c>
      <c r="H111">
        <v>592.87</v>
      </c>
      <c r="I111" s="6" t="s">
        <v>2512</v>
      </c>
      <c r="J111" s="6" t="s">
        <v>3068</v>
      </c>
      <c r="K111" s="6" t="s">
        <v>3070</v>
      </c>
      <c r="L111" t="s">
        <v>3184</v>
      </c>
      <c r="M111">
        <v>3</v>
      </c>
      <c r="N111" t="s">
        <v>4276</v>
      </c>
      <c r="O111" t="s">
        <v>4279</v>
      </c>
      <c r="P111">
        <v>1778.61</v>
      </c>
    </row>
    <row r="112" spans="1:16" x14ac:dyDescent="0.3">
      <c r="A112" t="s">
        <v>124</v>
      </c>
      <c r="B112" s="3">
        <v>45403</v>
      </c>
      <c r="C112" s="7" t="str">
        <f t="shared" si="2"/>
        <v>2024</v>
      </c>
      <c r="D112" s="7" t="str">
        <f t="shared" si="3"/>
        <v>Apr</v>
      </c>
      <c r="E112" s="6" t="s">
        <v>1324</v>
      </c>
      <c r="F112" s="5" t="s">
        <v>2405</v>
      </c>
      <c r="G112">
        <v>1</v>
      </c>
      <c r="H112">
        <v>220.77</v>
      </c>
      <c r="I112" s="6" t="s">
        <v>2513</v>
      </c>
      <c r="J112" s="6" t="s">
        <v>3068</v>
      </c>
      <c r="K112" s="6" t="s">
        <v>3074</v>
      </c>
      <c r="L112" t="s">
        <v>3185</v>
      </c>
      <c r="M112">
        <v>5</v>
      </c>
      <c r="N112" t="s">
        <v>4276</v>
      </c>
      <c r="O112" t="s">
        <v>4278</v>
      </c>
      <c r="P112">
        <v>220.77</v>
      </c>
    </row>
    <row r="113" spans="1:16" x14ac:dyDescent="0.3">
      <c r="A113" t="s">
        <v>125</v>
      </c>
      <c r="B113" s="3">
        <v>45784</v>
      </c>
      <c r="C113" s="7" t="str">
        <f t="shared" si="2"/>
        <v>2025</v>
      </c>
      <c r="D113" s="7" t="str">
        <f t="shared" si="3"/>
        <v>May</v>
      </c>
      <c r="E113" s="6" t="s">
        <v>1325</v>
      </c>
      <c r="F113" s="5" t="s">
        <v>2409</v>
      </c>
      <c r="G113">
        <v>3</v>
      </c>
      <c r="H113">
        <v>309.22000000000003</v>
      </c>
      <c r="I113" s="6" t="s">
        <v>2514</v>
      </c>
      <c r="J113" s="6" t="s">
        <v>3066</v>
      </c>
      <c r="K113" s="6" t="s">
        <v>3071</v>
      </c>
      <c r="L113" t="s">
        <v>3186</v>
      </c>
      <c r="M113">
        <v>7</v>
      </c>
      <c r="N113" t="s">
        <v>4276</v>
      </c>
      <c r="O113" t="s">
        <v>4282</v>
      </c>
      <c r="P113">
        <v>927.66000000000008</v>
      </c>
    </row>
    <row r="114" spans="1:16" x14ac:dyDescent="0.3">
      <c r="A114" t="s">
        <v>126</v>
      </c>
      <c r="B114" s="3">
        <v>44927</v>
      </c>
      <c r="C114" s="7" t="str">
        <f t="shared" si="2"/>
        <v>2023</v>
      </c>
      <c r="D114" s="7" t="str">
        <f t="shared" si="3"/>
        <v>Jan</v>
      </c>
      <c r="E114" s="6" t="s">
        <v>1326</v>
      </c>
      <c r="F114" s="5" t="s">
        <v>2403</v>
      </c>
      <c r="G114">
        <v>1</v>
      </c>
      <c r="H114">
        <v>410.6</v>
      </c>
      <c r="I114" s="6" t="s">
        <v>2515</v>
      </c>
      <c r="J114" s="6" t="s">
        <v>3066</v>
      </c>
      <c r="K114" s="6" t="s">
        <v>3071</v>
      </c>
      <c r="L114" t="s">
        <v>3187</v>
      </c>
      <c r="M114">
        <v>2</v>
      </c>
      <c r="N114" t="s">
        <v>4277</v>
      </c>
      <c r="O114" t="s">
        <v>4279</v>
      </c>
      <c r="P114">
        <v>410.6</v>
      </c>
    </row>
    <row r="115" spans="1:16" x14ac:dyDescent="0.3">
      <c r="A115" t="s">
        <v>127</v>
      </c>
      <c r="B115" s="3">
        <v>45308</v>
      </c>
      <c r="C115" s="7" t="str">
        <f t="shared" si="2"/>
        <v>2024</v>
      </c>
      <c r="D115" s="7" t="str">
        <f t="shared" si="3"/>
        <v>Jan</v>
      </c>
      <c r="E115" s="6" t="s">
        <v>1327</v>
      </c>
      <c r="F115" s="5" t="s">
        <v>2408</v>
      </c>
      <c r="G115">
        <v>5</v>
      </c>
      <c r="H115">
        <v>190.08</v>
      </c>
      <c r="I115" s="6" t="s">
        <v>2516</v>
      </c>
      <c r="J115" s="6" t="s">
        <v>3069</v>
      </c>
      <c r="K115" s="6" t="s">
        <v>3070</v>
      </c>
      <c r="L115" t="s">
        <v>3188</v>
      </c>
      <c r="M115">
        <v>9</v>
      </c>
      <c r="N115" t="s">
        <v>4276</v>
      </c>
      <c r="O115" t="s">
        <v>4278</v>
      </c>
      <c r="P115">
        <v>950.40000000000009</v>
      </c>
    </row>
    <row r="116" spans="1:16" x14ac:dyDescent="0.3">
      <c r="A116" t="s">
        <v>128</v>
      </c>
      <c r="B116" s="3">
        <v>45684</v>
      </c>
      <c r="C116" s="7" t="str">
        <f t="shared" si="2"/>
        <v>2025</v>
      </c>
      <c r="D116" s="7" t="str">
        <f t="shared" si="3"/>
        <v>Jan</v>
      </c>
      <c r="E116" s="6" t="s">
        <v>1328</v>
      </c>
      <c r="F116" s="5" t="s">
        <v>2403</v>
      </c>
      <c r="G116">
        <v>5</v>
      </c>
      <c r="H116">
        <v>498.48</v>
      </c>
      <c r="I116" s="6" t="s">
        <v>2517</v>
      </c>
      <c r="J116" s="6" t="s">
        <v>3066</v>
      </c>
      <c r="K116" s="6" t="s">
        <v>3074</v>
      </c>
      <c r="L116" t="s">
        <v>3189</v>
      </c>
      <c r="M116">
        <v>8</v>
      </c>
      <c r="N116" t="s">
        <v>4275</v>
      </c>
      <c r="O116" t="s">
        <v>4282</v>
      </c>
      <c r="P116">
        <v>2492.4</v>
      </c>
    </row>
    <row r="117" spans="1:16" x14ac:dyDescent="0.3">
      <c r="A117" t="s">
        <v>129</v>
      </c>
      <c r="B117" s="3">
        <v>45257</v>
      </c>
      <c r="C117" s="7" t="str">
        <f t="shared" si="2"/>
        <v>2023</v>
      </c>
      <c r="D117" s="7" t="str">
        <f t="shared" si="3"/>
        <v>Nov</v>
      </c>
      <c r="E117" s="6" t="s">
        <v>1329</v>
      </c>
      <c r="F117" s="5" t="s">
        <v>2404</v>
      </c>
      <c r="G117">
        <v>5</v>
      </c>
      <c r="H117">
        <v>374.99</v>
      </c>
      <c r="I117" s="6" t="s">
        <v>2518</v>
      </c>
      <c r="J117" s="6" t="s">
        <v>3066</v>
      </c>
      <c r="K117" s="6" t="s">
        <v>3070</v>
      </c>
      <c r="L117" t="s">
        <v>3190</v>
      </c>
      <c r="M117">
        <v>9</v>
      </c>
      <c r="N117" t="s">
        <v>4275</v>
      </c>
      <c r="O117" t="s">
        <v>4281</v>
      </c>
      <c r="P117">
        <v>1874.95</v>
      </c>
    </row>
    <row r="118" spans="1:16" x14ac:dyDescent="0.3">
      <c r="A118" t="s">
        <v>130</v>
      </c>
      <c r="B118" s="3">
        <v>45004</v>
      </c>
      <c r="C118" s="7" t="str">
        <f t="shared" si="2"/>
        <v>2023</v>
      </c>
      <c r="D118" s="7" t="str">
        <f t="shared" si="3"/>
        <v>Mar</v>
      </c>
      <c r="E118" s="6" t="s">
        <v>1330</v>
      </c>
      <c r="F118" s="5" t="s">
        <v>2407</v>
      </c>
      <c r="G118">
        <v>4</v>
      </c>
      <c r="H118">
        <v>291.35000000000002</v>
      </c>
      <c r="I118" s="6" t="s">
        <v>2519</v>
      </c>
      <c r="J118" s="6" t="s">
        <v>3067</v>
      </c>
      <c r="K118" s="6" t="s">
        <v>3071</v>
      </c>
      <c r="L118" t="s">
        <v>3191</v>
      </c>
      <c r="M118">
        <v>6</v>
      </c>
      <c r="N118" t="s">
        <v>4277</v>
      </c>
      <c r="O118" t="s">
        <v>4281</v>
      </c>
      <c r="P118">
        <v>1165.4000000000001</v>
      </c>
    </row>
    <row r="119" spans="1:16" x14ac:dyDescent="0.3">
      <c r="A119" t="s">
        <v>131</v>
      </c>
      <c r="B119" s="3">
        <v>44993</v>
      </c>
      <c r="C119" s="7" t="str">
        <f t="shared" si="2"/>
        <v>2023</v>
      </c>
      <c r="D119" s="7" t="str">
        <f t="shared" si="3"/>
        <v>Mar</v>
      </c>
      <c r="E119" s="6" t="s">
        <v>1331</v>
      </c>
      <c r="F119" s="5" t="s">
        <v>2405</v>
      </c>
      <c r="G119">
        <v>1</v>
      </c>
      <c r="H119">
        <v>535.5</v>
      </c>
      <c r="I119" s="6" t="s">
        <v>2520</v>
      </c>
      <c r="J119" s="6" t="s">
        <v>3068</v>
      </c>
      <c r="K119" s="6" t="s">
        <v>3071</v>
      </c>
      <c r="L119" t="s">
        <v>3192</v>
      </c>
      <c r="M119">
        <v>5</v>
      </c>
      <c r="N119" t="s">
        <v>4277</v>
      </c>
      <c r="O119" t="s">
        <v>4279</v>
      </c>
      <c r="P119">
        <v>535.5</v>
      </c>
    </row>
    <row r="120" spans="1:16" x14ac:dyDescent="0.3">
      <c r="A120" t="s">
        <v>132</v>
      </c>
      <c r="B120" s="3">
        <v>45208</v>
      </c>
      <c r="C120" s="7" t="str">
        <f t="shared" si="2"/>
        <v>2023</v>
      </c>
      <c r="D120" s="7" t="str">
        <f t="shared" si="3"/>
        <v>Oct</v>
      </c>
      <c r="E120" s="6" t="s">
        <v>1332</v>
      </c>
      <c r="F120" s="5" t="s">
        <v>2407</v>
      </c>
      <c r="G120">
        <v>5</v>
      </c>
      <c r="H120">
        <v>502.71</v>
      </c>
      <c r="I120" s="6" t="s">
        <v>2521</v>
      </c>
      <c r="J120" s="6" t="s">
        <v>3068</v>
      </c>
      <c r="K120" s="6" t="s">
        <v>3070</v>
      </c>
      <c r="L120" t="s">
        <v>3193</v>
      </c>
      <c r="M120">
        <v>7</v>
      </c>
      <c r="N120" t="s">
        <v>4276</v>
      </c>
      <c r="O120" t="s">
        <v>4282</v>
      </c>
      <c r="P120">
        <v>2513.5500000000002</v>
      </c>
    </row>
    <row r="121" spans="1:16" x14ac:dyDescent="0.3">
      <c r="A121" t="s">
        <v>133</v>
      </c>
      <c r="B121" s="3">
        <v>45819</v>
      </c>
      <c r="C121" s="7" t="str">
        <f t="shared" si="2"/>
        <v>2025</v>
      </c>
      <c r="D121" s="7" t="str">
        <f t="shared" si="3"/>
        <v>Jun</v>
      </c>
      <c r="E121" s="6" t="s">
        <v>1333</v>
      </c>
      <c r="F121" s="5" t="s">
        <v>2409</v>
      </c>
      <c r="G121">
        <v>2</v>
      </c>
      <c r="H121">
        <v>534.66999999999996</v>
      </c>
      <c r="I121" s="6" t="s">
        <v>2522</v>
      </c>
      <c r="J121" s="6" t="s">
        <v>3065</v>
      </c>
      <c r="K121" s="6" t="s">
        <v>3070</v>
      </c>
      <c r="L121" t="s">
        <v>3194</v>
      </c>
      <c r="M121">
        <v>7</v>
      </c>
      <c r="N121" t="s">
        <v>4276</v>
      </c>
      <c r="O121" t="s">
        <v>4279</v>
      </c>
      <c r="P121">
        <v>1069.3399999999999</v>
      </c>
    </row>
    <row r="122" spans="1:16" x14ac:dyDescent="0.3">
      <c r="A122" t="s">
        <v>134</v>
      </c>
      <c r="B122" s="3">
        <v>45027</v>
      </c>
      <c r="C122" s="7" t="str">
        <f t="shared" si="2"/>
        <v>2023</v>
      </c>
      <c r="D122" s="7" t="str">
        <f t="shared" si="3"/>
        <v>Apr</v>
      </c>
      <c r="E122" s="6" t="s">
        <v>1334</v>
      </c>
      <c r="F122" s="5" t="s">
        <v>2405</v>
      </c>
      <c r="G122">
        <v>4</v>
      </c>
      <c r="H122">
        <v>629.34</v>
      </c>
      <c r="I122" s="6" t="s">
        <v>2416</v>
      </c>
      <c r="J122" s="6" t="s">
        <v>3069</v>
      </c>
      <c r="K122" s="6" t="s">
        <v>3071</v>
      </c>
      <c r="L122" t="s">
        <v>3195</v>
      </c>
      <c r="M122">
        <v>4</v>
      </c>
      <c r="N122" t="s">
        <v>4277</v>
      </c>
      <c r="O122" t="s">
        <v>4278</v>
      </c>
      <c r="P122">
        <v>2517.36</v>
      </c>
    </row>
    <row r="123" spans="1:16" x14ac:dyDescent="0.3">
      <c r="A123" t="s">
        <v>135</v>
      </c>
      <c r="B123" s="3">
        <v>45260</v>
      </c>
      <c r="C123" s="7" t="str">
        <f t="shared" si="2"/>
        <v>2023</v>
      </c>
      <c r="D123" s="7" t="str">
        <f t="shared" si="3"/>
        <v>Nov</v>
      </c>
      <c r="E123" s="6" t="s">
        <v>1335</v>
      </c>
      <c r="F123" s="5" t="s">
        <v>2409</v>
      </c>
      <c r="G123">
        <v>1</v>
      </c>
      <c r="H123">
        <v>410.78</v>
      </c>
      <c r="I123" s="6" t="s">
        <v>2523</v>
      </c>
      <c r="J123" s="6" t="s">
        <v>3069</v>
      </c>
      <c r="K123" s="6" t="s">
        <v>3071</v>
      </c>
      <c r="L123" t="s">
        <v>3196</v>
      </c>
      <c r="M123">
        <v>1</v>
      </c>
      <c r="N123" t="s">
        <v>4276</v>
      </c>
      <c r="O123" t="s">
        <v>4278</v>
      </c>
      <c r="P123">
        <v>410.78</v>
      </c>
    </row>
    <row r="124" spans="1:16" x14ac:dyDescent="0.3">
      <c r="A124" t="s">
        <v>136</v>
      </c>
      <c r="B124" s="3">
        <v>45397</v>
      </c>
      <c r="C124" s="7" t="str">
        <f t="shared" si="2"/>
        <v>2024</v>
      </c>
      <c r="D124" s="7" t="str">
        <f t="shared" si="3"/>
        <v>Apr</v>
      </c>
      <c r="E124" s="6" t="s">
        <v>1336</v>
      </c>
      <c r="F124" s="5" t="s">
        <v>2408</v>
      </c>
      <c r="G124">
        <v>2</v>
      </c>
      <c r="H124">
        <v>533.02</v>
      </c>
      <c r="I124" s="6" t="s">
        <v>2524</v>
      </c>
      <c r="J124" s="6" t="s">
        <v>3068</v>
      </c>
      <c r="K124" s="6" t="s">
        <v>3070</v>
      </c>
      <c r="L124" t="s">
        <v>3197</v>
      </c>
      <c r="M124">
        <v>2</v>
      </c>
      <c r="N124" t="s">
        <v>4285</v>
      </c>
      <c r="O124" t="s">
        <v>4281</v>
      </c>
      <c r="P124">
        <v>1066.04</v>
      </c>
    </row>
    <row r="125" spans="1:16" x14ac:dyDescent="0.3">
      <c r="A125" t="s">
        <v>137</v>
      </c>
      <c r="B125" s="3">
        <v>45113</v>
      </c>
      <c r="C125" s="7" t="str">
        <f t="shared" si="2"/>
        <v>2023</v>
      </c>
      <c r="D125" s="7" t="str">
        <f t="shared" si="3"/>
        <v>Jul</v>
      </c>
      <c r="E125" s="6" t="s">
        <v>1337</v>
      </c>
      <c r="F125" s="5" t="s">
        <v>2409</v>
      </c>
      <c r="G125">
        <v>3</v>
      </c>
      <c r="H125">
        <v>278.04000000000002</v>
      </c>
      <c r="I125" s="6" t="s">
        <v>2525</v>
      </c>
      <c r="J125" s="6" t="s">
        <v>3066</v>
      </c>
      <c r="K125" s="6" t="s">
        <v>3073</v>
      </c>
      <c r="L125" t="s">
        <v>3198</v>
      </c>
      <c r="M125">
        <v>5</v>
      </c>
      <c r="N125" t="s">
        <v>4285</v>
      </c>
      <c r="O125" t="s">
        <v>4278</v>
      </c>
      <c r="P125">
        <v>834.12000000000012</v>
      </c>
    </row>
    <row r="126" spans="1:16" x14ac:dyDescent="0.3">
      <c r="A126" t="s">
        <v>138</v>
      </c>
      <c r="B126" s="3">
        <v>45501</v>
      </c>
      <c r="C126" s="7" t="str">
        <f t="shared" si="2"/>
        <v>2024</v>
      </c>
      <c r="D126" s="7" t="str">
        <f t="shared" si="3"/>
        <v>Jul</v>
      </c>
      <c r="E126" s="6" t="s">
        <v>1338</v>
      </c>
      <c r="F126" s="5" t="s">
        <v>2407</v>
      </c>
      <c r="G126">
        <v>4</v>
      </c>
      <c r="H126">
        <v>283.79000000000002</v>
      </c>
      <c r="I126" s="6" t="s">
        <v>2526</v>
      </c>
      <c r="J126" s="6" t="s">
        <v>3066</v>
      </c>
      <c r="K126" s="6" t="s">
        <v>3074</v>
      </c>
      <c r="L126" t="s">
        <v>3199</v>
      </c>
      <c r="M126">
        <v>8</v>
      </c>
      <c r="N126" t="s">
        <v>4285</v>
      </c>
      <c r="O126" t="s">
        <v>4282</v>
      </c>
      <c r="P126">
        <v>1135.1600000000001</v>
      </c>
    </row>
    <row r="127" spans="1:16" x14ac:dyDescent="0.3">
      <c r="A127" t="s">
        <v>139</v>
      </c>
      <c r="B127" s="3">
        <v>45602</v>
      </c>
      <c r="C127" s="7" t="str">
        <f t="shared" si="2"/>
        <v>2024</v>
      </c>
      <c r="D127" s="7" t="str">
        <f t="shared" si="3"/>
        <v>Nov</v>
      </c>
      <c r="E127" s="6" t="s">
        <v>1339</v>
      </c>
      <c r="F127" s="5" t="s">
        <v>2404</v>
      </c>
      <c r="G127">
        <v>2</v>
      </c>
      <c r="H127">
        <v>512.65</v>
      </c>
      <c r="I127" s="6" t="s">
        <v>2527</v>
      </c>
      <c r="J127" s="6" t="s">
        <v>3067</v>
      </c>
      <c r="K127" s="6" t="s">
        <v>3070</v>
      </c>
      <c r="L127" t="s">
        <v>3200</v>
      </c>
      <c r="M127">
        <v>5</v>
      </c>
      <c r="N127" t="s">
        <v>4275</v>
      </c>
      <c r="O127" t="s">
        <v>4280</v>
      </c>
      <c r="P127">
        <v>1025.3</v>
      </c>
    </row>
    <row r="128" spans="1:16" x14ac:dyDescent="0.3">
      <c r="A128" t="s">
        <v>140</v>
      </c>
      <c r="B128" s="3">
        <v>45780</v>
      </c>
      <c r="C128" s="7" t="str">
        <f t="shared" si="2"/>
        <v>2025</v>
      </c>
      <c r="D128" s="7" t="str">
        <f t="shared" si="3"/>
        <v>May</v>
      </c>
      <c r="E128" s="6" t="s">
        <v>1340</v>
      </c>
      <c r="F128" s="5" t="s">
        <v>2409</v>
      </c>
      <c r="G128">
        <v>4</v>
      </c>
      <c r="H128">
        <v>275.5</v>
      </c>
      <c r="I128" s="6" t="s">
        <v>2528</v>
      </c>
      <c r="J128" s="6" t="s">
        <v>3068</v>
      </c>
      <c r="K128" s="6" t="s">
        <v>3070</v>
      </c>
      <c r="L128" t="s">
        <v>3201</v>
      </c>
      <c r="M128">
        <v>8</v>
      </c>
      <c r="N128" t="s">
        <v>4276</v>
      </c>
      <c r="O128" t="s">
        <v>4282</v>
      </c>
      <c r="P128">
        <v>1102</v>
      </c>
    </row>
    <row r="129" spans="1:16" x14ac:dyDescent="0.3">
      <c r="A129" t="s">
        <v>141</v>
      </c>
      <c r="B129" s="3">
        <v>45148</v>
      </c>
      <c r="C129" s="7" t="str">
        <f t="shared" si="2"/>
        <v>2023</v>
      </c>
      <c r="D129" s="7" t="str">
        <f t="shared" si="3"/>
        <v>Aug</v>
      </c>
      <c r="E129" s="6" t="s">
        <v>1341</v>
      </c>
      <c r="F129" s="5" t="s">
        <v>2409</v>
      </c>
      <c r="G129">
        <v>3</v>
      </c>
      <c r="H129">
        <v>469.32</v>
      </c>
      <c r="I129" s="6" t="s">
        <v>2529</v>
      </c>
      <c r="J129" s="6" t="s">
        <v>3065</v>
      </c>
      <c r="K129" s="6" t="s">
        <v>3070</v>
      </c>
      <c r="L129" t="s">
        <v>3202</v>
      </c>
      <c r="M129">
        <v>3</v>
      </c>
      <c r="N129" t="s">
        <v>4285</v>
      </c>
      <c r="O129" t="s">
        <v>4282</v>
      </c>
      <c r="P129">
        <v>1407.96</v>
      </c>
    </row>
    <row r="130" spans="1:16" x14ac:dyDescent="0.3">
      <c r="A130" t="s">
        <v>142</v>
      </c>
      <c r="B130" s="3">
        <v>44974</v>
      </c>
      <c r="C130" s="7" t="str">
        <f t="shared" ref="C130:C193" si="4">TEXT(B130, "yyyy")</f>
        <v>2023</v>
      </c>
      <c r="D130" s="7" t="str">
        <f t="shared" ref="D130:D193" si="5">TEXT(B130, "MMM")</f>
        <v>Feb</v>
      </c>
      <c r="E130" s="6" t="s">
        <v>1342</v>
      </c>
      <c r="F130" s="5" t="s">
        <v>2405</v>
      </c>
      <c r="G130">
        <v>4</v>
      </c>
      <c r="H130">
        <v>21.07</v>
      </c>
      <c r="I130" s="6" t="s">
        <v>2530</v>
      </c>
      <c r="J130" s="6" t="s">
        <v>3068</v>
      </c>
      <c r="K130" s="6" t="s">
        <v>3073</v>
      </c>
      <c r="L130" t="s">
        <v>3203</v>
      </c>
      <c r="M130">
        <v>4</v>
      </c>
      <c r="N130" t="s">
        <v>4276</v>
      </c>
      <c r="O130" t="s">
        <v>4282</v>
      </c>
      <c r="P130">
        <v>84.28</v>
      </c>
    </row>
    <row r="131" spans="1:16" x14ac:dyDescent="0.3">
      <c r="A131" t="s">
        <v>143</v>
      </c>
      <c r="B131" s="3">
        <v>45226</v>
      </c>
      <c r="C131" s="7" t="str">
        <f t="shared" si="4"/>
        <v>2023</v>
      </c>
      <c r="D131" s="7" t="str">
        <f t="shared" si="5"/>
        <v>Oct</v>
      </c>
      <c r="E131" s="6" t="s">
        <v>1343</v>
      </c>
      <c r="F131" s="5" t="s">
        <v>2408</v>
      </c>
      <c r="G131">
        <v>4</v>
      </c>
      <c r="H131">
        <v>263.93</v>
      </c>
      <c r="I131" s="6" t="s">
        <v>2531</v>
      </c>
      <c r="J131" s="6" t="s">
        <v>3065</v>
      </c>
      <c r="K131" s="6" t="s">
        <v>3070</v>
      </c>
      <c r="L131" t="s">
        <v>3204</v>
      </c>
      <c r="M131">
        <v>4</v>
      </c>
      <c r="N131" t="s">
        <v>4276</v>
      </c>
      <c r="O131" t="s">
        <v>4281</v>
      </c>
      <c r="P131">
        <v>1055.72</v>
      </c>
    </row>
    <row r="132" spans="1:16" x14ac:dyDescent="0.3">
      <c r="A132" t="s">
        <v>144</v>
      </c>
      <c r="B132" s="3">
        <v>45679</v>
      </c>
      <c r="C132" s="7" t="str">
        <f t="shared" si="4"/>
        <v>2025</v>
      </c>
      <c r="D132" s="7" t="str">
        <f t="shared" si="5"/>
        <v>Jan</v>
      </c>
      <c r="E132" s="6" t="s">
        <v>1344</v>
      </c>
      <c r="F132" s="5" t="s">
        <v>2409</v>
      </c>
      <c r="G132">
        <v>3</v>
      </c>
      <c r="H132">
        <v>501.3</v>
      </c>
      <c r="I132" s="6" t="s">
        <v>2532</v>
      </c>
      <c r="J132" s="6" t="s">
        <v>3066</v>
      </c>
      <c r="K132" s="6" t="s">
        <v>3071</v>
      </c>
      <c r="L132" t="s">
        <v>3205</v>
      </c>
      <c r="M132">
        <v>3</v>
      </c>
      <c r="N132" t="s">
        <v>4277</v>
      </c>
      <c r="O132" t="s">
        <v>4281</v>
      </c>
      <c r="P132">
        <v>1503.9</v>
      </c>
    </row>
    <row r="133" spans="1:16" x14ac:dyDescent="0.3">
      <c r="A133" t="s">
        <v>145</v>
      </c>
      <c r="B133" s="3">
        <v>44934</v>
      </c>
      <c r="C133" s="7" t="str">
        <f t="shared" si="4"/>
        <v>2023</v>
      </c>
      <c r="D133" s="7" t="str">
        <f t="shared" si="5"/>
        <v>Jan</v>
      </c>
      <c r="E133" s="6" t="s">
        <v>1345</v>
      </c>
      <c r="F133" s="5" t="s">
        <v>2405</v>
      </c>
      <c r="G133">
        <v>1</v>
      </c>
      <c r="H133">
        <v>84.8</v>
      </c>
      <c r="I133" s="6" t="s">
        <v>2533</v>
      </c>
      <c r="J133" s="6" t="s">
        <v>3068</v>
      </c>
      <c r="K133" s="6" t="s">
        <v>3074</v>
      </c>
      <c r="L133" t="s">
        <v>3206</v>
      </c>
      <c r="M133">
        <v>5</v>
      </c>
      <c r="N133" t="s">
        <v>4285</v>
      </c>
      <c r="O133" t="s">
        <v>4278</v>
      </c>
      <c r="P133">
        <v>84.8</v>
      </c>
    </row>
    <row r="134" spans="1:16" x14ac:dyDescent="0.3">
      <c r="A134" t="s">
        <v>146</v>
      </c>
      <c r="B134" s="3">
        <v>45013</v>
      </c>
      <c r="C134" s="7" t="str">
        <f t="shared" si="4"/>
        <v>2023</v>
      </c>
      <c r="D134" s="7" t="str">
        <f t="shared" si="5"/>
        <v>Mar</v>
      </c>
      <c r="E134" s="6" t="s">
        <v>1346</v>
      </c>
      <c r="F134" s="5" t="s">
        <v>2405</v>
      </c>
      <c r="G134">
        <v>4</v>
      </c>
      <c r="H134">
        <v>450.75</v>
      </c>
      <c r="I134" s="6" t="s">
        <v>2534</v>
      </c>
      <c r="J134" s="6" t="s">
        <v>3067</v>
      </c>
      <c r="K134" s="6" t="s">
        <v>3070</v>
      </c>
      <c r="L134" t="s">
        <v>3207</v>
      </c>
      <c r="M134">
        <v>6</v>
      </c>
      <c r="N134" t="s">
        <v>4277</v>
      </c>
      <c r="O134" t="s">
        <v>4280</v>
      </c>
      <c r="P134">
        <v>1803</v>
      </c>
    </row>
    <row r="135" spans="1:16" x14ac:dyDescent="0.3">
      <c r="A135" t="s">
        <v>147</v>
      </c>
      <c r="B135" s="3">
        <v>45828</v>
      </c>
      <c r="C135" s="7" t="str">
        <f t="shared" si="4"/>
        <v>2025</v>
      </c>
      <c r="D135" s="7" t="str">
        <f t="shared" si="5"/>
        <v>Jun</v>
      </c>
      <c r="E135" s="6" t="s">
        <v>1347</v>
      </c>
      <c r="F135" s="5" t="s">
        <v>2406</v>
      </c>
      <c r="G135">
        <v>4</v>
      </c>
      <c r="H135">
        <v>302.05</v>
      </c>
      <c r="I135" s="6" t="s">
        <v>2535</v>
      </c>
      <c r="J135" s="6" t="s">
        <v>3065</v>
      </c>
      <c r="K135" s="6" t="s">
        <v>3071</v>
      </c>
      <c r="L135" t="s">
        <v>3208</v>
      </c>
      <c r="M135">
        <v>6</v>
      </c>
      <c r="N135" t="s">
        <v>4275</v>
      </c>
      <c r="O135" t="s">
        <v>4282</v>
      </c>
      <c r="P135">
        <v>1208.2</v>
      </c>
    </row>
    <row r="136" spans="1:16" x14ac:dyDescent="0.3">
      <c r="A136" t="s">
        <v>148</v>
      </c>
      <c r="B136" s="3">
        <v>45831</v>
      </c>
      <c r="C136" s="7" t="str">
        <f t="shared" si="4"/>
        <v>2025</v>
      </c>
      <c r="D136" s="7" t="str">
        <f t="shared" si="5"/>
        <v>Jun</v>
      </c>
      <c r="E136" s="6" t="s">
        <v>1348</v>
      </c>
      <c r="F136" s="5" t="s">
        <v>2408</v>
      </c>
      <c r="G136">
        <v>2</v>
      </c>
      <c r="H136">
        <v>199.7</v>
      </c>
      <c r="I136" s="6" t="s">
        <v>2534</v>
      </c>
      <c r="J136" s="6" t="s">
        <v>3069</v>
      </c>
      <c r="K136" s="6" t="s">
        <v>3074</v>
      </c>
      <c r="L136" t="s">
        <v>3209</v>
      </c>
      <c r="M136">
        <v>4</v>
      </c>
      <c r="N136" t="s">
        <v>4285</v>
      </c>
      <c r="O136" t="s">
        <v>4280</v>
      </c>
      <c r="P136">
        <v>399.4</v>
      </c>
    </row>
    <row r="137" spans="1:16" x14ac:dyDescent="0.3">
      <c r="A137" t="s">
        <v>149</v>
      </c>
      <c r="B137" s="3">
        <v>45142</v>
      </c>
      <c r="C137" s="7" t="str">
        <f t="shared" si="4"/>
        <v>2023</v>
      </c>
      <c r="D137" s="7" t="str">
        <f t="shared" si="5"/>
        <v>Aug</v>
      </c>
      <c r="E137" s="6" t="s">
        <v>1349</v>
      </c>
      <c r="F137" s="5" t="s">
        <v>2407</v>
      </c>
      <c r="G137">
        <v>2</v>
      </c>
      <c r="H137">
        <v>68.81</v>
      </c>
      <c r="I137" s="6" t="s">
        <v>2536</v>
      </c>
      <c r="J137" s="6" t="s">
        <v>3068</v>
      </c>
      <c r="K137" s="6" t="s">
        <v>3070</v>
      </c>
      <c r="L137" t="s">
        <v>3210</v>
      </c>
      <c r="M137">
        <v>5</v>
      </c>
      <c r="N137" t="s">
        <v>4275</v>
      </c>
      <c r="O137" t="s">
        <v>4279</v>
      </c>
      <c r="P137">
        <v>137.62</v>
      </c>
    </row>
    <row r="138" spans="1:16" x14ac:dyDescent="0.3">
      <c r="A138" t="s">
        <v>150</v>
      </c>
      <c r="B138" s="3">
        <v>45409</v>
      </c>
      <c r="C138" s="7" t="str">
        <f t="shared" si="4"/>
        <v>2024</v>
      </c>
      <c r="D138" s="7" t="str">
        <f t="shared" si="5"/>
        <v>Apr</v>
      </c>
      <c r="E138" s="6" t="s">
        <v>1350</v>
      </c>
      <c r="F138" s="5" t="s">
        <v>2408</v>
      </c>
      <c r="G138">
        <v>1</v>
      </c>
      <c r="H138">
        <v>44.35</v>
      </c>
      <c r="I138" s="6" t="s">
        <v>2537</v>
      </c>
      <c r="J138" s="6" t="s">
        <v>3068</v>
      </c>
      <c r="K138" s="6" t="s">
        <v>3071</v>
      </c>
      <c r="L138" t="s">
        <v>3211</v>
      </c>
      <c r="M138">
        <v>1</v>
      </c>
      <c r="N138" t="s">
        <v>4275</v>
      </c>
      <c r="O138" t="s">
        <v>4278</v>
      </c>
      <c r="P138">
        <v>44.35</v>
      </c>
    </row>
    <row r="139" spans="1:16" x14ac:dyDescent="0.3">
      <c r="A139" t="s">
        <v>151</v>
      </c>
      <c r="B139" s="3">
        <v>45622</v>
      </c>
      <c r="C139" s="7" t="str">
        <f t="shared" si="4"/>
        <v>2024</v>
      </c>
      <c r="D139" s="7" t="str">
        <f t="shared" si="5"/>
        <v>Nov</v>
      </c>
      <c r="E139" s="6" t="s">
        <v>1351</v>
      </c>
      <c r="F139" s="5" t="s">
        <v>2403</v>
      </c>
      <c r="G139">
        <v>2</v>
      </c>
      <c r="H139">
        <v>250.98</v>
      </c>
      <c r="I139" s="6" t="s">
        <v>2538</v>
      </c>
      <c r="J139" s="6" t="s">
        <v>3067</v>
      </c>
      <c r="K139" s="6" t="s">
        <v>3073</v>
      </c>
      <c r="L139" t="s">
        <v>3212</v>
      </c>
      <c r="M139">
        <v>5</v>
      </c>
      <c r="N139" t="s">
        <v>4285</v>
      </c>
      <c r="O139" t="s">
        <v>4282</v>
      </c>
      <c r="P139">
        <v>501.96</v>
      </c>
    </row>
    <row r="140" spans="1:16" x14ac:dyDescent="0.3">
      <c r="A140" t="s">
        <v>152</v>
      </c>
      <c r="B140" s="3">
        <v>45281</v>
      </c>
      <c r="C140" s="7" t="str">
        <f t="shared" si="4"/>
        <v>2023</v>
      </c>
      <c r="D140" s="7" t="str">
        <f t="shared" si="5"/>
        <v>Dec</v>
      </c>
      <c r="E140" s="6" t="s">
        <v>1352</v>
      </c>
      <c r="F140" s="5" t="s">
        <v>2405</v>
      </c>
      <c r="G140">
        <v>1</v>
      </c>
      <c r="H140">
        <v>298.06</v>
      </c>
      <c r="I140" s="6" t="s">
        <v>2539</v>
      </c>
      <c r="J140" s="6" t="s">
        <v>3065</v>
      </c>
      <c r="K140" s="6" t="s">
        <v>3074</v>
      </c>
      <c r="L140" t="s">
        <v>3213</v>
      </c>
      <c r="M140">
        <v>3</v>
      </c>
      <c r="N140" t="s">
        <v>4277</v>
      </c>
      <c r="O140" t="s">
        <v>4282</v>
      </c>
      <c r="P140">
        <v>298.06</v>
      </c>
    </row>
    <row r="141" spans="1:16" x14ac:dyDescent="0.3">
      <c r="A141" t="s">
        <v>153</v>
      </c>
      <c r="B141" s="3">
        <v>45026</v>
      </c>
      <c r="C141" s="7" t="str">
        <f t="shared" si="4"/>
        <v>2023</v>
      </c>
      <c r="D141" s="7" t="str">
        <f t="shared" si="5"/>
        <v>Apr</v>
      </c>
      <c r="E141" s="6" t="s">
        <v>1353</v>
      </c>
      <c r="F141" s="5" t="s">
        <v>2404</v>
      </c>
      <c r="G141">
        <v>1</v>
      </c>
      <c r="H141">
        <v>583.9</v>
      </c>
      <c r="I141" s="6" t="s">
        <v>2540</v>
      </c>
      <c r="J141" s="6" t="s">
        <v>3069</v>
      </c>
      <c r="K141" s="6" t="s">
        <v>3072</v>
      </c>
      <c r="L141" t="s">
        <v>3214</v>
      </c>
      <c r="M141">
        <v>1</v>
      </c>
      <c r="N141" t="s">
        <v>4285</v>
      </c>
      <c r="O141" t="s">
        <v>4280</v>
      </c>
      <c r="P141">
        <v>583.9</v>
      </c>
    </row>
    <row r="142" spans="1:16" x14ac:dyDescent="0.3">
      <c r="A142" t="s">
        <v>154</v>
      </c>
      <c r="B142" s="3">
        <v>45808</v>
      </c>
      <c r="C142" s="7" t="str">
        <f t="shared" si="4"/>
        <v>2025</v>
      </c>
      <c r="D142" s="7" t="str">
        <f t="shared" si="5"/>
        <v>May</v>
      </c>
      <c r="E142" s="6" t="s">
        <v>1354</v>
      </c>
      <c r="F142" s="5" t="s">
        <v>2406</v>
      </c>
      <c r="G142">
        <v>3</v>
      </c>
      <c r="H142">
        <v>528.14</v>
      </c>
      <c r="I142" s="6" t="s">
        <v>2513</v>
      </c>
      <c r="J142" s="6" t="s">
        <v>3066</v>
      </c>
      <c r="K142" s="6" t="s">
        <v>3073</v>
      </c>
      <c r="L142" t="s">
        <v>3215</v>
      </c>
      <c r="M142">
        <v>3</v>
      </c>
      <c r="N142" t="s">
        <v>4276</v>
      </c>
      <c r="O142" t="s">
        <v>4280</v>
      </c>
      <c r="P142">
        <v>1584.42</v>
      </c>
    </row>
    <row r="143" spans="1:16" x14ac:dyDescent="0.3">
      <c r="A143" t="s">
        <v>155</v>
      </c>
      <c r="B143" s="3">
        <v>45248</v>
      </c>
      <c r="C143" s="7" t="str">
        <f t="shared" si="4"/>
        <v>2023</v>
      </c>
      <c r="D143" s="7" t="str">
        <f t="shared" si="5"/>
        <v>Nov</v>
      </c>
      <c r="E143" s="6" t="s">
        <v>1355</v>
      </c>
      <c r="F143" s="5" t="s">
        <v>2407</v>
      </c>
      <c r="G143">
        <v>3</v>
      </c>
      <c r="H143">
        <v>684.14</v>
      </c>
      <c r="I143" s="6" t="s">
        <v>2541</v>
      </c>
      <c r="J143" s="6" t="s">
        <v>3069</v>
      </c>
      <c r="K143" s="6" t="s">
        <v>3071</v>
      </c>
      <c r="L143" t="s">
        <v>3216</v>
      </c>
      <c r="M143">
        <v>3</v>
      </c>
      <c r="N143" t="s">
        <v>4277</v>
      </c>
      <c r="O143" t="s">
        <v>4278</v>
      </c>
      <c r="P143">
        <v>2052.42</v>
      </c>
    </row>
    <row r="144" spans="1:16" x14ac:dyDescent="0.3">
      <c r="A144" t="s">
        <v>156</v>
      </c>
      <c r="B144" s="3">
        <v>45175</v>
      </c>
      <c r="C144" s="7" t="str">
        <f t="shared" si="4"/>
        <v>2023</v>
      </c>
      <c r="D144" s="7" t="str">
        <f t="shared" si="5"/>
        <v>Sept</v>
      </c>
      <c r="E144" s="6" t="s">
        <v>1356</v>
      </c>
      <c r="F144" s="5" t="s">
        <v>2409</v>
      </c>
      <c r="G144">
        <v>5</v>
      </c>
      <c r="H144">
        <v>272.77</v>
      </c>
      <c r="I144" s="6" t="s">
        <v>2542</v>
      </c>
      <c r="J144" s="6" t="s">
        <v>3069</v>
      </c>
      <c r="K144" s="6" t="s">
        <v>3074</v>
      </c>
      <c r="L144" t="s">
        <v>3217</v>
      </c>
      <c r="M144">
        <v>7</v>
      </c>
      <c r="N144" t="s">
        <v>4277</v>
      </c>
      <c r="O144" t="s">
        <v>4280</v>
      </c>
      <c r="P144">
        <v>1363.85</v>
      </c>
    </row>
    <row r="145" spans="1:16" x14ac:dyDescent="0.3">
      <c r="A145" t="s">
        <v>157</v>
      </c>
      <c r="B145" s="3">
        <v>45456</v>
      </c>
      <c r="C145" s="7" t="str">
        <f t="shared" si="4"/>
        <v>2024</v>
      </c>
      <c r="D145" s="7" t="str">
        <f t="shared" si="5"/>
        <v>Jun</v>
      </c>
      <c r="E145" s="6" t="s">
        <v>1357</v>
      </c>
      <c r="F145" s="5" t="s">
        <v>2406</v>
      </c>
      <c r="G145">
        <v>4</v>
      </c>
      <c r="H145">
        <v>400.07</v>
      </c>
      <c r="I145" s="6" t="s">
        <v>2543</v>
      </c>
      <c r="J145" s="6" t="s">
        <v>3066</v>
      </c>
      <c r="K145" s="6" t="s">
        <v>3070</v>
      </c>
      <c r="L145" t="s">
        <v>3218</v>
      </c>
      <c r="M145">
        <v>5</v>
      </c>
      <c r="N145" t="s">
        <v>4285</v>
      </c>
      <c r="O145" t="s">
        <v>4279</v>
      </c>
      <c r="P145">
        <v>1600.28</v>
      </c>
    </row>
    <row r="146" spans="1:16" x14ac:dyDescent="0.3">
      <c r="A146" t="s">
        <v>158</v>
      </c>
      <c r="B146" s="3">
        <v>45142</v>
      </c>
      <c r="C146" s="7" t="str">
        <f t="shared" si="4"/>
        <v>2023</v>
      </c>
      <c r="D146" s="7" t="str">
        <f t="shared" si="5"/>
        <v>Aug</v>
      </c>
      <c r="E146" s="6" t="s">
        <v>1358</v>
      </c>
      <c r="F146" s="5" t="s">
        <v>2409</v>
      </c>
      <c r="G146">
        <v>5</v>
      </c>
      <c r="H146">
        <v>219.78</v>
      </c>
      <c r="I146" s="6" t="s">
        <v>2440</v>
      </c>
      <c r="J146" s="6" t="s">
        <v>3067</v>
      </c>
      <c r="K146" s="6" t="s">
        <v>3074</v>
      </c>
      <c r="L146" t="s">
        <v>3219</v>
      </c>
      <c r="M146">
        <v>8</v>
      </c>
      <c r="N146" t="s">
        <v>4285</v>
      </c>
      <c r="O146" t="s">
        <v>4281</v>
      </c>
      <c r="P146">
        <v>1098.9000000000001</v>
      </c>
    </row>
    <row r="147" spans="1:16" x14ac:dyDescent="0.3">
      <c r="A147" t="s">
        <v>159</v>
      </c>
      <c r="B147" s="3">
        <v>45353</v>
      </c>
      <c r="C147" s="7" t="str">
        <f t="shared" si="4"/>
        <v>2024</v>
      </c>
      <c r="D147" s="7" t="str">
        <f t="shared" si="5"/>
        <v>Mar</v>
      </c>
      <c r="E147" s="6" t="s">
        <v>1359</v>
      </c>
      <c r="F147" s="5" t="s">
        <v>2407</v>
      </c>
      <c r="G147">
        <v>3</v>
      </c>
      <c r="H147">
        <v>146.91</v>
      </c>
      <c r="I147" s="6" t="s">
        <v>2544</v>
      </c>
      <c r="J147" s="6" t="s">
        <v>3067</v>
      </c>
      <c r="K147" s="6" t="s">
        <v>3073</v>
      </c>
      <c r="L147" t="s">
        <v>3220</v>
      </c>
      <c r="M147">
        <v>6</v>
      </c>
      <c r="N147" t="s">
        <v>4276</v>
      </c>
      <c r="O147" t="s">
        <v>4282</v>
      </c>
      <c r="P147">
        <v>440.73</v>
      </c>
    </row>
    <row r="148" spans="1:16" x14ac:dyDescent="0.3">
      <c r="A148" t="s">
        <v>160</v>
      </c>
      <c r="B148" s="3">
        <v>45777</v>
      </c>
      <c r="C148" s="7" t="str">
        <f t="shared" si="4"/>
        <v>2025</v>
      </c>
      <c r="D148" s="7" t="str">
        <f t="shared" si="5"/>
        <v>Apr</v>
      </c>
      <c r="E148" s="6" t="s">
        <v>1360</v>
      </c>
      <c r="F148" s="5" t="s">
        <v>2405</v>
      </c>
      <c r="G148">
        <v>2</v>
      </c>
      <c r="H148">
        <v>411.49</v>
      </c>
      <c r="I148" s="6" t="s">
        <v>2545</v>
      </c>
      <c r="J148" s="6" t="s">
        <v>3067</v>
      </c>
      <c r="K148" s="6" t="s">
        <v>3072</v>
      </c>
      <c r="L148" t="s">
        <v>3221</v>
      </c>
      <c r="M148">
        <v>4</v>
      </c>
      <c r="N148" t="s">
        <v>4285</v>
      </c>
      <c r="O148" t="s">
        <v>4278</v>
      </c>
      <c r="P148">
        <v>822.98</v>
      </c>
    </row>
    <row r="149" spans="1:16" x14ac:dyDescent="0.3">
      <c r="A149" t="s">
        <v>161</v>
      </c>
      <c r="B149" s="3">
        <v>45783</v>
      </c>
      <c r="C149" s="7" t="str">
        <f t="shared" si="4"/>
        <v>2025</v>
      </c>
      <c r="D149" s="7" t="str">
        <f t="shared" si="5"/>
        <v>May</v>
      </c>
      <c r="E149" s="6" t="s">
        <v>1361</v>
      </c>
      <c r="F149" s="5" t="s">
        <v>2408</v>
      </c>
      <c r="G149">
        <v>2</v>
      </c>
      <c r="H149">
        <v>465.18</v>
      </c>
      <c r="I149" s="6" t="s">
        <v>2546</v>
      </c>
      <c r="J149" s="6" t="s">
        <v>3067</v>
      </c>
      <c r="K149" s="6" t="s">
        <v>3071</v>
      </c>
      <c r="L149" t="s">
        <v>3222</v>
      </c>
      <c r="M149">
        <v>2</v>
      </c>
      <c r="N149" t="s">
        <v>4275</v>
      </c>
      <c r="O149" t="s">
        <v>4282</v>
      </c>
      <c r="P149">
        <v>930.36</v>
      </c>
    </row>
    <row r="150" spans="1:16" x14ac:dyDescent="0.3">
      <c r="A150" t="s">
        <v>162</v>
      </c>
      <c r="B150" s="3">
        <v>45641</v>
      </c>
      <c r="C150" s="7" t="str">
        <f t="shared" si="4"/>
        <v>2024</v>
      </c>
      <c r="D150" s="7" t="str">
        <f t="shared" si="5"/>
        <v>Dec</v>
      </c>
      <c r="E150" s="6" t="s">
        <v>1362</v>
      </c>
      <c r="F150" s="5" t="s">
        <v>2404</v>
      </c>
      <c r="G150">
        <v>2</v>
      </c>
      <c r="H150">
        <v>319.91000000000003</v>
      </c>
      <c r="I150" s="6" t="s">
        <v>2547</v>
      </c>
      <c r="J150" s="6" t="s">
        <v>3067</v>
      </c>
      <c r="K150" s="6" t="s">
        <v>3071</v>
      </c>
      <c r="L150" t="s">
        <v>3223</v>
      </c>
      <c r="M150">
        <v>3</v>
      </c>
      <c r="N150" t="s">
        <v>4277</v>
      </c>
      <c r="O150" t="s">
        <v>4282</v>
      </c>
      <c r="P150">
        <v>639.82000000000005</v>
      </c>
    </row>
    <row r="151" spans="1:16" x14ac:dyDescent="0.3">
      <c r="A151" t="s">
        <v>163</v>
      </c>
      <c r="B151" s="3">
        <v>45287</v>
      </c>
      <c r="C151" s="7" t="str">
        <f t="shared" si="4"/>
        <v>2023</v>
      </c>
      <c r="D151" s="7" t="str">
        <f t="shared" si="5"/>
        <v>Dec</v>
      </c>
      <c r="E151" s="6" t="s">
        <v>1363</v>
      </c>
      <c r="F151" s="5" t="s">
        <v>2408</v>
      </c>
      <c r="G151">
        <v>1</v>
      </c>
      <c r="H151">
        <v>217.56</v>
      </c>
      <c r="I151" s="6" t="s">
        <v>2548</v>
      </c>
      <c r="J151" s="6" t="s">
        <v>3065</v>
      </c>
      <c r="K151" s="6" t="s">
        <v>3073</v>
      </c>
      <c r="L151" t="s">
        <v>3224</v>
      </c>
      <c r="M151">
        <v>3</v>
      </c>
      <c r="N151" t="s">
        <v>4285</v>
      </c>
      <c r="O151" t="s">
        <v>4281</v>
      </c>
      <c r="P151">
        <v>217.56</v>
      </c>
    </row>
    <row r="152" spans="1:16" x14ac:dyDescent="0.3">
      <c r="A152" t="s">
        <v>164</v>
      </c>
      <c r="B152" s="3">
        <v>45273</v>
      </c>
      <c r="C152" s="7" t="str">
        <f t="shared" si="4"/>
        <v>2023</v>
      </c>
      <c r="D152" s="7" t="str">
        <f t="shared" si="5"/>
        <v>Dec</v>
      </c>
      <c r="E152" s="6" t="s">
        <v>1364</v>
      </c>
      <c r="F152" s="5" t="s">
        <v>2404</v>
      </c>
      <c r="G152">
        <v>2</v>
      </c>
      <c r="H152">
        <v>105.57</v>
      </c>
      <c r="I152" s="6" t="s">
        <v>2549</v>
      </c>
      <c r="J152" s="6" t="s">
        <v>3065</v>
      </c>
      <c r="K152" s="6" t="s">
        <v>3072</v>
      </c>
      <c r="L152" t="s">
        <v>3225</v>
      </c>
      <c r="M152">
        <v>5</v>
      </c>
      <c r="N152" t="s">
        <v>4277</v>
      </c>
      <c r="O152" t="s">
        <v>4282</v>
      </c>
      <c r="P152">
        <v>211.14</v>
      </c>
    </row>
    <row r="153" spans="1:16" x14ac:dyDescent="0.3">
      <c r="A153" t="s">
        <v>165</v>
      </c>
      <c r="B153" s="3">
        <v>45261</v>
      </c>
      <c r="C153" s="7" t="str">
        <f t="shared" si="4"/>
        <v>2023</v>
      </c>
      <c r="D153" s="7" t="str">
        <f t="shared" si="5"/>
        <v>Dec</v>
      </c>
      <c r="E153" s="6" t="s">
        <v>1365</v>
      </c>
      <c r="F153" s="5" t="s">
        <v>2407</v>
      </c>
      <c r="G153">
        <v>5</v>
      </c>
      <c r="H153">
        <v>444.76</v>
      </c>
      <c r="I153" s="6" t="s">
        <v>2550</v>
      </c>
      <c r="J153" s="6" t="s">
        <v>3065</v>
      </c>
      <c r="K153" s="6" t="s">
        <v>3072</v>
      </c>
      <c r="L153" t="s">
        <v>3226</v>
      </c>
      <c r="M153">
        <v>7</v>
      </c>
      <c r="N153" t="s">
        <v>4285</v>
      </c>
      <c r="O153" t="s">
        <v>4280</v>
      </c>
      <c r="P153">
        <v>2223.8000000000002</v>
      </c>
    </row>
    <row r="154" spans="1:16" x14ac:dyDescent="0.3">
      <c r="A154" t="s">
        <v>166</v>
      </c>
      <c r="B154" s="3">
        <v>45659</v>
      </c>
      <c r="C154" s="7" t="str">
        <f t="shared" si="4"/>
        <v>2025</v>
      </c>
      <c r="D154" s="7" t="str">
        <f t="shared" si="5"/>
        <v>Jan</v>
      </c>
      <c r="E154" s="6" t="s">
        <v>1366</v>
      </c>
      <c r="F154" s="5" t="s">
        <v>2406</v>
      </c>
      <c r="G154">
        <v>2</v>
      </c>
      <c r="H154">
        <v>399.04</v>
      </c>
      <c r="I154" s="6" t="s">
        <v>2551</v>
      </c>
      <c r="J154" s="6" t="s">
        <v>3069</v>
      </c>
      <c r="K154" s="6" t="s">
        <v>3071</v>
      </c>
      <c r="L154" t="s">
        <v>3227</v>
      </c>
      <c r="M154">
        <v>3</v>
      </c>
      <c r="N154" t="s">
        <v>4276</v>
      </c>
      <c r="O154" t="s">
        <v>4279</v>
      </c>
      <c r="P154">
        <v>798.08</v>
      </c>
    </row>
    <row r="155" spans="1:16" x14ac:dyDescent="0.3">
      <c r="A155" t="s">
        <v>167</v>
      </c>
      <c r="B155" s="3">
        <v>45644</v>
      </c>
      <c r="C155" s="7" t="str">
        <f t="shared" si="4"/>
        <v>2024</v>
      </c>
      <c r="D155" s="7" t="str">
        <f t="shared" si="5"/>
        <v>Dec</v>
      </c>
      <c r="E155" s="6" t="s">
        <v>1367</v>
      </c>
      <c r="F155" s="5" t="s">
        <v>2406</v>
      </c>
      <c r="G155">
        <v>4</v>
      </c>
      <c r="H155">
        <v>534.48</v>
      </c>
      <c r="I155" s="6" t="s">
        <v>2552</v>
      </c>
      <c r="J155" s="6" t="s">
        <v>3066</v>
      </c>
      <c r="K155" s="6" t="s">
        <v>3072</v>
      </c>
      <c r="L155" t="s">
        <v>3228</v>
      </c>
      <c r="M155">
        <v>9</v>
      </c>
      <c r="N155" t="s">
        <v>4277</v>
      </c>
      <c r="O155" t="s">
        <v>4278</v>
      </c>
      <c r="P155">
        <v>2137.92</v>
      </c>
    </row>
    <row r="156" spans="1:16" x14ac:dyDescent="0.3">
      <c r="A156" t="s">
        <v>168</v>
      </c>
      <c r="B156" s="3">
        <v>45127</v>
      </c>
      <c r="C156" s="7" t="str">
        <f t="shared" si="4"/>
        <v>2023</v>
      </c>
      <c r="D156" s="7" t="str">
        <f t="shared" si="5"/>
        <v>Jul</v>
      </c>
      <c r="E156" s="6" t="s">
        <v>1368</v>
      </c>
      <c r="F156" s="5" t="s">
        <v>2404</v>
      </c>
      <c r="G156">
        <v>4</v>
      </c>
      <c r="H156">
        <v>408.21</v>
      </c>
      <c r="I156" s="6" t="s">
        <v>2525</v>
      </c>
      <c r="J156" s="6" t="s">
        <v>3067</v>
      </c>
      <c r="K156" s="6" t="s">
        <v>3074</v>
      </c>
      <c r="L156" t="s">
        <v>3229</v>
      </c>
      <c r="M156">
        <v>9</v>
      </c>
      <c r="N156" t="s">
        <v>4285</v>
      </c>
      <c r="O156" t="s">
        <v>4278</v>
      </c>
      <c r="P156">
        <v>1632.84</v>
      </c>
    </row>
    <row r="157" spans="1:16" x14ac:dyDescent="0.3">
      <c r="A157" t="s">
        <v>169</v>
      </c>
      <c r="B157" s="3">
        <v>44984</v>
      </c>
      <c r="C157" s="7" t="str">
        <f t="shared" si="4"/>
        <v>2023</v>
      </c>
      <c r="D157" s="7" t="str">
        <f t="shared" si="5"/>
        <v>Feb</v>
      </c>
      <c r="E157" s="6" t="s">
        <v>1369</v>
      </c>
      <c r="F157" s="5" t="s">
        <v>2404</v>
      </c>
      <c r="G157">
        <v>1</v>
      </c>
      <c r="H157">
        <v>424.4</v>
      </c>
      <c r="I157" s="6" t="s">
        <v>2457</v>
      </c>
      <c r="J157" s="6" t="s">
        <v>3066</v>
      </c>
      <c r="K157" s="6" t="s">
        <v>3070</v>
      </c>
      <c r="L157" t="s">
        <v>3230</v>
      </c>
      <c r="M157">
        <v>6</v>
      </c>
      <c r="N157" t="s">
        <v>4277</v>
      </c>
      <c r="O157" t="s">
        <v>4279</v>
      </c>
      <c r="P157">
        <v>424.4</v>
      </c>
    </row>
    <row r="158" spans="1:16" x14ac:dyDescent="0.3">
      <c r="A158" t="s">
        <v>170</v>
      </c>
      <c r="B158" s="3">
        <v>45604</v>
      </c>
      <c r="C158" s="7" t="str">
        <f t="shared" si="4"/>
        <v>2024</v>
      </c>
      <c r="D158" s="7" t="str">
        <f t="shared" si="5"/>
        <v>Nov</v>
      </c>
      <c r="E158" s="6" t="s">
        <v>1370</v>
      </c>
      <c r="F158" s="5" t="s">
        <v>2406</v>
      </c>
      <c r="G158">
        <v>2</v>
      </c>
      <c r="H158">
        <v>269.83</v>
      </c>
      <c r="I158" s="6" t="s">
        <v>2553</v>
      </c>
      <c r="J158" s="6" t="s">
        <v>3066</v>
      </c>
      <c r="K158" s="6" t="s">
        <v>3073</v>
      </c>
      <c r="L158" t="s">
        <v>3231</v>
      </c>
      <c r="M158">
        <v>4</v>
      </c>
      <c r="N158" t="s">
        <v>4275</v>
      </c>
      <c r="O158" t="s">
        <v>4280</v>
      </c>
      <c r="P158">
        <v>539.66</v>
      </c>
    </row>
    <row r="159" spans="1:16" x14ac:dyDescent="0.3">
      <c r="A159" t="s">
        <v>171</v>
      </c>
      <c r="B159" s="3">
        <v>45709</v>
      </c>
      <c r="C159" s="7" t="str">
        <f t="shared" si="4"/>
        <v>2025</v>
      </c>
      <c r="D159" s="7" t="str">
        <f t="shared" si="5"/>
        <v>Feb</v>
      </c>
      <c r="E159" s="6" t="s">
        <v>1371</v>
      </c>
      <c r="F159" s="5" t="s">
        <v>2403</v>
      </c>
      <c r="G159">
        <v>2</v>
      </c>
      <c r="H159">
        <v>564.58000000000004</v>
      </c>
      <c r="I159" s="6" t="s">
        <v>2535</v>
      </c>
      <c r="J159" s="6" t="s">
        <v>3066</v>
      </c>
      <c r="K159" s="6" t="s">
        <v>3072</v>
      </c>
      <c r="L159" t="s">
        <v>3232</v>
      </c>
      <c r="M159">
        <v>4</v>
      </c>
      <c r="N159" t="s">
        <v>4277</v>
      </c>
      <c r="O159" t="s">
        <v>4281</v>
      </c>
      <c r="P159">
        <v>1129.1600000000001</v>
      </c>
    </row>
    <row r="160" spans="1:16" x14ac:dyDescent="0.3">
      <c r="A160" t="s">
        <v>172</v>
      </c>
      <c r="B160" s="3">
        <v>45428</v>
      </c>
      <c r="C160" s="7" t="str">
        <f t="shared" si="4"/>
        <v>2024</v>
      </c>
      <c r="D160" s="7" t="str">
        <f t="shared" si="5"/>
        <v>May</v>
      </c>
      <c r="E160" s="6" t="s">
        <v>1372</v>
      </c>
      <c r="F160" s="5" t="s">
        <v>2405</v>
      </c>
      <c r="G160">
        <v>1</v>
      </c>
      <c r="H160">
        <v>331.06</v>
      </c>
      <c r="I160" s="6" t="s">
        <v>2554</v>
      </c>
      <c r="J160" s="6" t="s">
        <v>3067</v>
      </c>
      <c r="K160" s="6" t="s">
        <v>3074</v>
      </c>
      <c r="L160" t="s">
        <v>3233</v>
      </c>
      <c r="M160">
        <v>5</v>
      </c>
      <c r="N160" t="s">
        <v>4277</v>
      </c>
      <c r="O160" t="s">
        <v>4278</v>
      </c>
      <c r="P160">
        <v>331.06</v>
      </c>
    </row>
    <row r="161" spans="1:16" x14ac:dyDescent="0.3">
      <c r="A161" t="s">
        <v>173</v>
      </c>
      <c r="B161" s="3">
        <v>45230</v>
      </c>
      <c r="C161" s="7" t="str">
        <f t="shared" si="4"/>
        <v>2023</v>
      </c>
      <c r="D161" s="7" t="str">
        <f t="shared" si="5"/>
        <v>Oct</v>
      </c>
      <c r="E161" s="6" t="s">
        <v>1373</v>
      </c>
      <c r="F161" s="5" t="s">
        <v>2407</v>
      </c>
      <c r="G161">
        <v>1</v>
      </c>
      <c r="H161">
        <v>299.35000000000002</v>
      </c>
      <c r="I161" s="6" t="s">
        <v>2555</v>
      </c>
      <c r="J161" s="6" t="s">
        <v>3067</v>
      </c>
      <c r="K161" s="6" t="s">
        <v>3071</v>
      </c>
      <c r="L161" t="s">
        <v>3234</v>
      </c>
      <c r="M161">
        <v>5</v>
      </c>
      <c r="N161" t="s">
        <v>4277</v>
      </c>
      <c r="O161" t="s">
        <v>4280</v>
      </c>
      <c r="P161">
        <v>299.35000000000002</v>
      </c>
    </row>
    <row r="162" spans="1:16" x14ac:dyDescent="0.3">
      <c r="A162" t="s">
        <v>174</v>
      </c>
      <c r="B162" s="3">
        <v>44974</v>
      </c>
      <c r="C162" s="7" t="str">
        <f t="shared" si="4"/>
        <v>2023</v>
      </c>
      <c r="D162" s="7" t="str">
        <f t="shared" si="5"/>
        <v>Feb</v>
      </c>
      <c r="E162" s="6" t="s">
        <v>1374</v>
      </c>
      <c r="F162" s="5" t="s">
        <v>2403</v>
      </c>
      <c r="G162">
        <v>4</v>
      </c>
      <c r="H162">
        <v>101.32</v>
      </c>
      <c r="I162" s="6" t="s">
        <v>2556</v>
      </c>
      <c r="J162" s="6" t="s">
        <v>3069</v>
      </c>
      <c r="K162" s="6" t="s">
        <v>3074</v>
      </c>
      <c r="L162" t="s">
        <v>3235</v>
      </c>
      <c r="M162">
        <v>7</v>
      </c>
      <c r="N162" t="s">
        <v>4285</v>
      </c>
      <c r="O162" t="s">
        <v>4279</v>
      </c>
      <c r="P162">
        <v>405.28</v>
      </c>
    </row>
    <row r="163" spans="1:16" x14ac:dyDescent="0.3">
      <c r="A163" t="s">
        <v>175</v>
      </c>
      <c r="B163" s="3">
        <v>45380</v>
      </c>
      <c r="C163" s="7" t="str">
        <f t="shared" si="4"/>
        <v>2024</v>
      </c>
      <c r="D163" s="7" t="str">
        <f t="shared" si="5"/>
        <v>Mar</v>
      </c>
      <c r="E163" s="6" t="s">
        <v>1375</v>
      </c>
      <c r="F163" s="5" t="s">
        <v>2403</v>
      </c>
      <c r="G163">
        <v>1</v>
      </c>
      <c r="H163">
        <v>211.14</v>
      </c>
      <c r="I163" s="6" t="s">
        <v>2532</v>
      </c>
      <c r="J163" s="6" t="s">
        <v>3067</v>
      </c>
      <c r="K163" s="6" t="s">
        <v>3071</v>
      </c>
      <c r="L163" t="s">
        <v>3236</v>
      </c>
      <c r="M163">
        <v>1</v>
      </c>
      <c r="N163" t="s">
        <v>4275</v>
      </c>
      <c r="O163" t="s">
        <v>4281</v>
      </c>
      <c r="P163">
        <v>211.14</v>
      </c>
    </row>
    <row r="164" spans="1:16" x14ac:dyDescent="0.3">
      <c r="A164" t="s">
        <v>176</v>
      </c>
      <c r="B164" s="3">
        <v>45134</v>
      </c>
      <c r="C164" s="7" t="str">
        <f t="shared" si="4"/>
        <v>2023</v>
      </c>
      <c r="D164" s="7" t="str">
        <f t="shared" si="5"/>
        <v>Jul</v>
      </c>
      <c r="E164" s="6" t="s">
        <v>1376</v>
      </c>
      <c r="F164" s="5" t="s">
        <v>2406</v>
      </c>
      <c r="G164">
        <v>3</v>
      </c>
      <c r="H164">
        <v>65.86</v>
      </c>
      <c r="I164" s="6" t="s">
        <v>2479</v>
      </c>
      <c r="J164" s="6" t="s">
        <v>3066</v>
      </c>
      <c r="K164" s="6" t="s">
        <v>3074</v>
      </c>
      <c r="L164" t="s">
        <v>3237</v>
      </c>
      <c r="M164">
        <v>8</v>
      </c>
      <c r="N164" t="s">
        <v>4277</v>
      </c>
      <c r="O164" t="s">
        <v>4282</v>
      </c>
      <c r="P164">
        <v>197.58</v>
      </c>
    </row>
    <row r="165" spans="1:16" x14ac:dyDescent="0.3">
      <c r="A165" t="s">
        <v>177</v>
      </c>
      <c r="B165" s="3">
        <v>45832</v>
      </c>
      <c r="C165" s="7" t="str">
        <f t="shared" si="4"/>
        <v>2025</v>
      </c>
      <c r="D165" s="7" t="str">
        <f t="shared" si="5"/>
        <v>Jun</v>
      </c>
      <c r="E165" s="6" t="s">
        <v>1377</v>
      </c>
      <c r="F165" s="5" t="s">
        <v>2405</v>
      </c>
      <c r="G165">
        <v>1</v>
      </c>
      <c r="H165">
        <v>641.39</v>
      </c>
      <c r="I165" s="6" t="s">
        <v>2557</v>
      </c>
      <c r="J165" s="6" t="s">
        <v>3066</v>
      </c>
      <c r="K165" s="6" t="s">
        <v>3071</v>
      </c>
      <c r="L165" t="s">
        <v>3238</v>
      </c>
      <c r="M165">
        <v>1</v>
      </c>
      <c r="N165" t="s">
        <v>4285</v>
      </c>
      <c r="O165" t="s">
        <v>4279</v>
      </c>
      <c r="P165">
        <v>641.39</v>
      </c>
    </row>
    <row r="166" spans="1:16" x14ac:dyDescent="0.3">
      <c r="A166" t="s">
        <v>178</v>
      </c>
      <c r="B166" s="3">
        <v>45288</v>
      </c>
      <c r="C166" s="7" t="str">
        <f t="shared" si="4"/>
        <v>2023</v>
      </c>
      <c r="D166" s="7" t="str">
        <f t="shared" si="5"/>
        <v>Dec</v>
      </c>
      <c r="E166" s="6" t="s">
        <v>1378</v>
      </c>
      <c r="F166" s="5" t="s">
        <v>2409</v>
      </c>
      <c r="G166">
        <v>5</v>
      </c>
      <c r="H166">
        <v>536.58000000000004</v>
      </c>
      <c r="I166" s="6" t="s">
        <v>2558</v>
      </c>
      <c r="J166" s="6" t="s">
        <v>3068</v>
      </c>
      <c r="K166" s="6" t="s">
        <v>3074</v>
      </c>
      <c r="L166" t="s">
        <v>3239</v>
      </c>
      <c r="M166">
        <v>5</v>
      </c>
      <c r="N166" t="s">
        <v>4275</v>
      </c>
      <c r="O166" t="s">
        <v>4282</v>
      </c>
      <c r="P166">
        <v>2682.9</v>
      </c>
    </row>
    <row r="167" spans="1:16" x14ac:dyDescent="0.3">
      <c r="A167" t="s">
        <v>179</v>
      </c>
      <c r="B167" s="3">
        <v>45549</v>
      </c>
      <c r="C167" s="7" t="str">
        <f t="shared" si="4"/>
        <v>2024</v>
      </c>
      <c r="D167" s="7" t="str">
        <f t="shared" si="5"/>
        <v>Sept</v>
      </c>
      <c r="E167" s="6" t="s">
        <v>1379</v>
      </c>
      <c r="F167" s="5" t="s">
        <v>2403</v>
      </c>
      <c r="G167">
        <v>2</v>
      </c>
      <c r="H167">
        <v>500.29</v>
      </c>
      <c r="I167" s="6" t="s">
        <v>2559</v>
      </c>
      <c r="J167" s="6" t="s">
        <v>3066</v>
      </c>
      <c r="K167" s="6" t="s">
        <v>3072</v>
      </c>
      <c r="L167" t="s">
        <v>3240</v>
      </c>
      <c r="M167">
        <v>7</v>
      </c>
      <c r="N167" t="s">
        <v>4277</v>
      </c>
      <c r="O167" t="s">
        <v>4282</v>
      </c>
      <c r="P167">
        <v>1000.58</v>
      </c>
    </row>
    <row r="168" spans="1:16" x14ac:dyDescent="0.3">
      <c r="A168" t="s">
        <v>180</v>
      </c>
      <c r="B168" s="3">
        <v>45720</v>
      </c>
      <c r="C168" s="7" t="str">
        <f t="shared" si="4"/>
        <v>2025</v>
      </c>
      <c r="D168" s="7" t="str">
        <f t="shared" si="5"/>
        <v>Mar</v>
      </c>
      <c r="E168" s="6" t="s">
        <v>1380</v>
      </c>
      <c r="F168" s="5" t="s">
        <v>2406</v>
      </c>
      <c r="G168">
        <v>3</v>
      </c>
      <c r="H168">
        <v>86.29</v>
      </c>
      <c r="I168" s="6" t="s">
        <v>2461</v>
      </c>
      <c r="J168" s="6" t="s">
        <v>3069</v>
      </c>
      <c r="K168" s="6" t="s">
        <v>3073</v>
      </c>
      <c r="L168" t="s">
        <v>3241</v>
      </c>
      <c r="M168">
        <v>6</v>
      </c>
      <c r="N168" t="s">
        <v>4277</v>
      </c>
      <c r="O168" t="s">
        <v>4278</v>
      </c>
      <c r="P168">
        <v>258.87</v>
      </c>
    </row>
    <row r="169" spans="1:16" x14ac:dyDescent="0.3">
      <c r="A169" t="s">
        <v>181</v>
      </c>
      <c r="B169" s="3">
        <v>45073</v>
      </c>
      <c r="C169" s="7" t="str">
        <f t="shared" si="4"/>
        <v>2023</v>
      </c>
      <c r="D169" s="7" t="str">
        <f t="shared" si="5"/>
        <v>May</v>
      </c>
      <c r="E169" s="6" t="s">
        <v>1381</v>
      </c>
      <c r="F169" s="5" t="s">
        <v>2406</v>
      </c>
      <c r="G169">
        <v>2</v>
      </c>
      <c r="H169">
        <v>384.14</v>
      </c>
      <c r="I169" s="6" t="s">
        <v>2560</v>
      </c>
      <c r="J169" s="6" t="s">
        <v>3066</v>
      </c>
      <c r="K169" s="6" t="s">
        <v>3072</v>
      </c>
      <c r="L169" t="s">
        <v>3242</v>
      </c>
      <c r="M169">
        <v>2</v>
      </c>
      <c r="N169" t="s">
        <v>4277</v>
      </c>
      <c r="O169" t="s">
        <v>4280</v>
      </c>
      <c r="P169">
        <v>768.28</v>
      </c>
    </row>
    <row r="170" spans="1:16" x14ac:dyDescent="0.3">
      <c r="A170" t="s">
        <v>182</v>
      </c>
      <c r="B170" s="3">
        <v>45661</v>
      </c>
      <c r="C170" s="7" t="str">
        <f t="shared" si="4"/>
        <v>2025</v>
      </c>
      <c r="D170" s="7" t="str">
        <f t="shared" si="5"/>
        <v>Jan</v>
      </c>
      <c r="E170" s="6" t="s">
        <v>1382</v>
      </c>
      <c r="F170" s="5" t="s">
        <v>2407</v>
      </c>
      <c r="G170">
        <v>1</v>
      </c>
      <c r="H170">
        <v>594.96</v>
      </c>
      <c r="I170" s="6" t="s">
        <v>2561</v>
      </c>
      <c r="J170" s="6" t="s">
        <v>3069</v>
      </c>
      <c r="K170" s="6" t="s">
        <v>3072</v>
      </c>
      <c r="L170" t="s">
        <v>3243</v>
      </c>
      <c r="M170">
        <v>6</v>
      </c>
      <c r="N170" t="s">
        <v>4285</v>
      </c>
      <c r="O170" t="s">
        <v>4281</v>
      </c>
      <c r="P170">
        <v>594.96</v>
      </c>
    </row>
    <row r="171" spans="1:16" x14ac:dyDescent="0.3">
      <c r="A171" t="s">
        <v>183</v>
      </c>
      <c r="B171" s="3">
        <v>45389</v>
      </c>
      <c r="C171" s="7" t="str">
        <f t="shared" si="4"/>
        <v>2024</v>
      </c>
      <c r="D171" s="7" t="str">
        <f t="shared" si="5"/>
        <v>Apr</v>
      </c>
      <c r="E171" s="6" t="s">
        <v>1383</v>
      </c>
      <c r="F171" s="5" t="s">
        <v>2407</v>
      </c>
      <c r="G171">
        <v>1</v>
      </c>
      <c r="H171">
        <v>427.82</v>
      </c>
      <c r="I171" s="6" t="s">
        <v>2562</v>
      </c>
      <c r="J171" s="6" t="s">
        <v>3066</v>
      </c>
      <c r="K171" s="6" t="s">
        <v>3073</v>
      </c>
      <c r="L171" t="s">
        <v>3244</v>
      </c>
      <c r="M171">
        <v>2</v>
      </c>
      <c r="N171" t="s">
        <v>4277</v>
      </c>
      <c r="O171" t="s">
        <v>4280</v>
      </c>
      <c r="P171">
        <v>427.82</v>
      </c>
    </row>
    <row r="172" spans="1:16" x14ac:dyDescent="0.3">
      <c r="A172" t="s">
        <v>184</v>
      </c>
      <c r="B172" s="3">
        <v>45751</v>
      </c>
      <c r="C172" s="7" t="str">
        <f t="shared" si="4"/>
        <v>2025</v>
      </c>
      <c r="D172" s="7" t="str">
        <f t="shared" si="5"/>
        <v>Apr</v>
      </c>
      <c r="E172" s="6" t="s">
        <v>1384</v>
      </c>
      <c r="F172" s="5" t="s">
        <v>2409</v>
      </c>
      <c r="G172">
        <v>4</v>
      </c>
      <c r="H172">
        <v>662.94</v>
      </c>
      <c r="I172" s="6" t="s">
        <v>2563</v>
      </c>
      <c r="J172" s="6" t="s">
        <v>3069</v>
      </c>
      <c r="K172" s="6" t="s">
        <v>3071</v>
      </c>
      <c r="L172" t="s">
        <v>3245</v>
      </c>
      <c r="M172">
        <v>8</v>
      </c>
      <c r="N172" t="s">
        <v>4275</v>
      </c>
      <c r="O172" t="s">
        <v>4278</v>
      </c>
      <c r="P172">
        <v>2651.76</v>
      </c>
    </row>
    <row r="173" spans="1:16" x14ac:dyDescent="0.3">
      <c r="A173" t="s">
        <v>185</v>
      </c>
      <c r="B173" s="3">
        <v>45153</v>
      </c>
      <c r="C173" s="7" t="str">
        <f t="shared" si="4"/>
        <v>2023</v>
      </c>
      <c r="D173" s="7" t="str">
        <f t="shared" si="5"/>
        <v>Aug</v>
      </c>
      <c r="E173" s="6" t="s">
        <v>1385</v>
      </c>
      <c r="F173" s="5" t="s">
        <v>2405</v>
      </c>
      <c r="G173">
        <v>2</v>
      </c>
      <c r="H173">
        <v>148.22</v>
      </c>
      <c r="I173" s="6" t="s">
        <v>2564</v>
      </c>
      <c r="J173" s="6" t="s">
        <v>3067</v>
      </c>
      <c r="K173" s="6" t="s">
        <v>3073</v>
      </c>
      <c r="L173" t="s">
        <v>3246</v>
      </c>
      <c r="M173">
        <v>7</v>
      </c>
      <c r="N173" t="s">
        <v>4277</v>
      </c>
      <c r="O173" t="s">
        <v>4278</v>
      </c>
      <c r="P173">
        <v>296.44</v>
      </c>
    </row>
    <row r="174" spans="1:16" x14ac:dyDescent="0.3">
      <c r="A174" t="s">
        <v>186</v>
      </c>
      <c r="B174" s="3">
        <v>45753</v>
      </c>
      <c r="C174" s="7" t="str">
        <f t="shared" si="4"/>
        <v>2025</v>
      </c>
      <c r="D174" s="7" t="str">
        <f t="shared" si="5"/>
        <v>Apr</v>
      </c>
      <c r="E174" s="6" t="s">
        <v>1386</v>
      </c>
      <c r="F174" s="5" t="s">
        <v>2407</v>
      </c>
      <c r="G174">
        <v>1</v>
      </c>
      <c r="H174">
        <v>254.12</v>
      </c>
      <c r="I174" s="6" t="s">
        <v>2529</v>
      </c>
      <c r="J174" s="6" t="s">
        <v>3066</v>
      </c>
      <c r="K174" s="6" t="s">
        <v>3073</v>
      </c>
      <c r="L174" t="s">
        <v>3247</v>
      </c>
      <c r="M174">
        <v>1</v>
      </c>
      <c r="N174" t="s">
        <v>4277</v>
      </c>
      <c r="O174" t="s">
        <v>4280</v>
      </c>
      <c r="P174">
        <v>254.12</v>
      </c>
    </row>
    <row r="175" spans="1:16" x14ac:dyDescent="0.3">
      <c r="A175" t="s">
        <v>187</v>
      </c>
      <c r="B175" s="3">
        <v>45375</v>
      </c>
      <c r="C175" s="7" t="str">
        <f t="shared" si="4"/>
        <v>2024</v>
      </c>
      <c r="D175" s="7" t="str">
        <f t="shared" si="5"/>
        <v>Mar</v>
      </c>
      <c r="E175" s="6" t="s">
        <v>1387</v>
      </c>
      <c r="F175" s="5" t="s">
        <v>2404</v>
      </c>
      <c r="G175">
        <v>3</v>
      </c>
      <c r="H175">
        <v>664.46</v>
      </c>
      <c r="I175" s="6" t="s">
        <v>2565</v>
      </c>
      <c r="J175" s="6" t="s">
        <v>3066</v>
      </c>
      <c r="K175" s="6" t="s">
        <v>3073</v>
      </c>
      <c r="L175" t="s">
        <v>3248</v>
      </c>
      <c r="M175">
        <v>4</v>
      </c>
      <c r="N175" t="s">
        <v>4276</v>
      </c>
      <c r="O175" t="s">
        <v>4282</v>
      </c>
      <c r="P175">
        <v>1993.38</v>
      </c>
    </row>
    <row r="176" spans="1:16" x14ac:dyDescent="0.3">
      <c r="A176" t="s">
        <v>188</v>
      </c>
      <c r="B176" s="3">
        <v>45398</v>
      </c>
      <c r="C176" s="7" t="str">
        <f t="shared" si="4"/>
        <v>2024</v>
      </c>
      <c r="D176" s="7" t="str">
        <f t="shared" si="5"/>
        <v>Apr</v>
      </c>
      <c r="E176" s="6" t="s">
        <v>1388</v>
      </c>
      <c r="F176" s="5" t="s">
        <v>2407</v>
      </c>
      <c r="G176">
        <v>4</v>
      </c>
      <c r="H176">
        <v>600.80999999999995</v>
      </c>
      <c r="I176" s="6" t="s">
        <v>2566</v>
      </c>
      <c r="J176" s="6" t="s">
        <v>3065</v>
      </c>
      <c r="K176" s="6" t="s">
        <v>3073</v>
      </c>
      <c r="L176" t="s">
        <v>3249</v>
      </c>
      <c r="M176">
        <v>9</v>
      </c>
      <c r="N176" t="s">
        <v>4275</v>
      </c>
      <c r="O176" t="s">
        <v>4280</v>
      </c>
      <c r="P176">
        <v>2403.2399999999998</v>
      </c>
    </row>
    <row r="177" spans="1:16" x14ac:dyDescent="0.3">
      <c r="A177" t="s">
        <v>189</v>
      </c>
      <c r="B177" s="3">
        <v>45696</v>
      </c>
      <c r="C177" s="7" t="str">
        <f t="shared" si="4"/>
        <v>2025</v>
      </c>
      <c r="D177" s="7" t="str">
        <f t="shared" si="5"/>
        <v>Feb</v>
      </c>
      <c r="E177" s="6" t="s">
        <v>1389</v>
      </c>
      <c r="F177" s="5" t="s">
        <v>2406</v>
      </c>
      <c r="G177">
        <v>5</v>
      </c>
      <c r="H177">
        <v>68.34</v>
      </c>
      <c r="I177" s="6" t="s">
        <v>2567</v>
      </c>
      <c r="J177" s="6" t="s">
        <v>3065</v>
      </c>
      <c r="K177" s="6" t="s">
        <v>3074</v>
      </c>
      <c r="L177" t="s">
        <v>3250</v>
      </c>
      <c r="M177">
        <v>6</v>
      </c>
      <c r="N177" t="s">
        <v>4277</v>
      </c>
      <c r="O177" t="s">
        <v>4279</v>
      </c>
      <c r="P177">
        <v>341.7</v>
      </c>
    </row>
    <row r="178" spans="1:16" x14ac:dyDescent="0.3">
      <c r="A178" t="s">
        <v>190</v>
      </c>
      <c r="B178" s="3">
        <v>45836</v>
      </c>
      <c r="C178" s="7" t="str">
        <f t="shared" si="4"/>
        <v>2025</v>
      </c>
      <c r="D178" s="7" t="str">
        <f t="shared" si="5"/>
        <v>Jun</v>
      </c>
      <c r="E178" s="6" t="s">
        <v>1390</v>
      </c>
      <c r="F178" s="5" t="s">
        <v>2405</v>
      </c>
      <c r="G178">
        <v>4</v>
      </c>
      <c r="H178">
        <v>430.83</v>
      </c>
      <c r="I178" s="6" t="s">
        <v>2568</v>
      </c>
      <c r="J178" s="6" t="s">
        <v>3068</v>
      </c>
      <c r="K178" s="6" t="s">
        <v>3074</v>
      </c>
      <c r="L178" t="s">
        <v>3251</v>
      </c>
      <c r="M178">
        <v>8</v>
      </c>
      <c r="N178" t="s">
        <v>4277</v>
      </c>
      <c r="O178" t="s">
        <v>4279</v>
      </c>
      <c r="P178">
        <v>1723.32</v>
      </c>
    </row>
    <row r="179" spans="1:16" x14ac:dyDescent="0.3">
      <c r="A179" t="s">
        <v>191</v>
      </c>
      <c r="B179" s="3">
        <v>45143</v>
      </c>
      <c r="C179" s="7" t="str">
        <f t="shared" si="4"/>
        <v>2023</v>
      </c>
      <c r="D179" s="7" t="str">
        <f t="shared" si="5"/>
        <v>Aug</v>
      </c>
      <c r="E179" s="6" t="s">
        <v>1391</v>
      </c>
      <c r="F179" s="5" t="s">
        <v>2406</v>
      </c>
      <c r="G179">
        <v>5</v>
      </c>
      <c r="H179">
        <v>431.69</v>
      </c>
      <c r="I179" s="6" t="s">
        <v>2569</v>
      </c>
      <c r="J179" s="6" t="s">
        <v>3067</v>
      </c>
      <c r="K179" s="6" t="s">
        <v>3074</v>
      </c>
      <c r="L179" t="s">
        <v>3252</v>
      </c>
      <c r="M179">
        <v>10</v>
      </c>
      <c r="N179" t="s">
        <v>4285</v>
      </c>
      <c r="O179" t="s">
        <v>4281</v>
      </c>
      <c r="P179">
        <v>2158.4499999999998</v>
      </c>
    </row>
    <row r="180" spans="1:16" x14ac:dyDescent="0.3">
      <c r="A180" t="s">
        <v>192</v>
      </c>
      <c r="B180" s="3">
        <v>45393</v>
      </c>
      <c r="C180" s="7" t="str">
        <f t="shared" si="4"/>
        <v>2024</v>
      </c>
      <c r="D180" s="7" t="str">
        <f t="shared" si="5"/>
        <v>Apr</v>
      </c>
      <c r="E180" s="6" t="s">
        <v>1392</v>
      </c>
      <c r="F180" s="5" t="s">
        <v>2406</v>
      </c>
      <c r="G180">
        <v>4</v>
      </c>
      <c r="H180">
        <v>512.05999999999995</v>
      </c>
      <c r="I180" s="6" t="s">
        <v>2570</v>
      </c>
      <c r="J180" s="6" t="s">
        <v>3066</v>
      </c>
      <c r="K180" s="6" t="s">
        <v>3073</v>
      </c>
      <c r="L180" t="s">
        <v>3253</v>
      </c>
      <c r="M180">
        <v>5</v>
      </c>
      <c r="N180" t="s">
        <v>4275</v>
      </c>
      <c r="O180" t="s">
        <v>4282</v>
      </c>
      <c r="P180">
        <v>2048.2399999999998</v>
      </c>
    </row>
    <row r="181" spans="1:16" x14ac:dyDescent="0.3">
      <c r="A181" t="s">
        <v>193</v>
      </c>
      <c r="B181" s="3">
        <v>45620</v>
      </c>
      <c r="C181" s="7" t="str">
        <f t="shared" si="4"/>
        <v>2024</v>
      </c>
      <c r="D181" s="7" t="str">
        <f t="shared" si="5"/>
        <v>Nov</v>
      </c>
      <c r="E181" s="6" t="s">
        <v>1393</v>
      </c>
      <c r="F181" s="5" t="s">
        <v>2408</v>
      </c>
      <c r="G181">
        <v>3</v>
      </c>
      <c r="H181">
        <v>539.91</v>
      </c>
      <c r="I181" s="6" t="s">
        <v>2571</v>
      </c>
      <c r="J181" s="6" t="s">
        <v>3067</v>
      </c>
      <c r="K181" s="6" t="s">
        <v>3073</v>
      </c>
      <c r="L181" t="s">
        <v>3254</v>
      </c>
      <c r="M181">
        <v>8</v>
      </c>
      <c r="N181" t="s">
        <v>4285</v>
      </c>
      <c r="O181" t="s">
        <v>4280</v>
      </c>
      <c r="P181">
        <v>1619.73</v>
      </c>
    </row>
    <row r="182" spans="1:16" x14ac:dyDescent="0.3">
      <c r="A182" t="s">
        <v>194</v>
      </c>
      <c r="B182" s="3">
        <v>45003</v>
      </c>
      <c r="C182" s="7" t="str">
        <f t="shared" si="4"/>
        <v>2023</v>
      </c>
      <c r="D182" s="7" t="str">
        <f t="shared" si="5"/>
        <v>Mar</v>
      </c>
      <c r="E182" s="6" t="s">
        <v>1394</v>
      </c>
      <c r="F182" s="5" t="s">
        <v>2405</v>
      </c>
      <c r="G182">
        <v>5</v>
      </c>
      <c r="H182">
        <v>316.07</v>
      </c>
      <c r="I182" s="6" t="s">
        <v>2572</v>
      </c>
      <c r="J182" s="6" t="s">
        <v>3069</v>
      </c>
      <c r="K182" s="6" t="s">
        <v>3072</v>
      </c>
      <c r="L182" t="s">
        <v>3255</v>
      </c>
      <c r="M182">
        <v>10</v>
      </c>
      <c r="N182" t="s">
        <v>4285</v>
      </c>
      <c r="O182" t="s">
        <v>4282</v>
      </c>
      <c r="P182">
        <v>1580.35</v>
      </c>
    </row>
    <row r="183" spans="1:16" x14ac:dyDescent="0.3">
      <c r="A183" t="s">
        <v>195</v>
      </c>
      <c r="B183" s="3">
        <v>45535</v>
      </c>
      <c r="C183" s="7" t="str">
        <f t="shared" si="4"/>
        <v>2024</v>
      </c>
      <c r="D183" s="7" t="str">
        <f t="shared" si="5"/>
        <v>Aug</v>
      </c>
      <c r="E183" s="6" t="s">
        <v>1395</v>
      </c>
      <c r="F183" s="5" t="s">
        <v>2407</v>
      </c>
      <c r="G183">
        <v>5</v>
      </c>
      <c r="H183">
        <v>404.39</v>
      </c>
      <c r="I183" s="6" t="s">
        <v>2573</v>
      </c>
      <c r="J183" s="6" t="s">
        <v>3066</v>
      </c>
      <c r="K183" s="6" t="s">
        <v>3070</v>
      </c>
      <c r="L183" t="s">
        <v>3256</v>
      </c>
      <c r="M183">
        <v>10</v>
      </c>
      <c r="N183" t="s">
        <v>4285</v>
      </c>
      <c r="O183" t="s">
        <v>4279</v>
      </c>
      <c r="P183">
        <v>2021.95</v>
      </c>
    </row>
    <row r="184" spans="1:16" x14ac:dyDescent="0.3">
      <c r="A184" t="s">
        <v>196</v>
      </c>
      <c r="B184" s="3">
        <v>45735</v>
      </c>
      <c r="C184" s="7" t="str">
        <f t="shared" si="4"/>
        <v>2025</v>
      </c>
      <c r="D184" s="7" t="str">
        <f t="shared" si="5"/>
        <v>Mar</v>
      </c>
      <c r="E184" s="6" t="s">
        <v>1396</v>
      </c>
      <c r="F184" s="5" t="s">
        <v>2409</v>
      </c>
      <c r="G184">
        <v>1</v>
      </c>
      <c r="H184">
        <v>600.54</v>
      </c>
      <c r="I184" s="6" t="s">
        <v>2574</v>
      </c>
      <c r="J184" s="6" t="s">
        <v>3065</v>
      </c>
      <c r="K184" s="6" t="s">
        <v>3074</v>
      </c>
      <c r="L184" t="s">
        <v>3257</v>
      </c>
      <c r="M184">
        <v>4</v>
      </c>
      <c r="N184" t="s">
        <v>4277</v>
      </c>
      <c r="O184" t="s">
        <v>4282</v>
      </c>
      <c r="P184">
        <v>600.54</v>
      </c>
    </row>
    <row r="185" spans="1:16" x14ac:dyDescent="0.3">
      <c r="A185" t="s">
        <v>197</v>
      </c>
      <c r="B185" s="3">
        <v>45400</v>
      </c>
      <c r="C185" s="7" t="str">
        <f t="shared" si="4"/>
        <v>2024</v>
      </c>
      <c r="D185" s="7" t="str">
        <f t="shared" si="5"/>
        <v>Apr</v>
      </c>
      <c r="E185" s="6" t="s">
        <v>1397</v>
      </c>
      <c r="F185" s="5" t="s">
        <v>2403</v>
      </c>
      <c r="G185">
        <v>5</v>
      </c>
      <c r="H185">
        <v>186.28</v>
      </c>
      <c r="I185" s="6" t="s">
        <v>2575</v>
      </c>
      <c r="J185" s="6" t="s">
        <v>3065</v>
      </c>
      <c r="K185" s="6" t="s">
        <v>3073</v>
      </c>
      <c r="L185" t="s">
        <v>3258</v>
      </c>
      <c r="M185">
        <v>8</v>
      </c>
      <c r="N185" t="s">
        <v>4275</v>
      </c>
      <c r="O185" t="s">
        <v>4280</v>
      </c>
      <c r="P185">
        <v>931.4</v>
      </c>
    </row>
    <row r="186" spans="1:16" x14ac:dyDescent="0.3">
      <c r="A186" t="s">
        <v>198</v>
      </c>
      <c r="B186" s="3">
        <v>45386</v>
      </c>
      <c r="C186" s="7" t="str">
        <f t="shared" si="4"/>
        <v>2024</v>
      </c>
      <c r="D186" s="7" t="str">
        <f t="shared" si="5"/>
        <v>Apr</v>
      </c>
      <c r="E186" s="6" t="s">
        <v>1398</v>
      </c>
      <c r="F186" s="5" t="s">
        <v>2405</v>
      </c>
      <c r="G186">
        <v>4</v>
      </c>
      <c r="H186">
        <v>214.54</v>
      </c>
      <c r="I186" s="6" t="s">
        <v>2576</v>
      </c>
      <c r="J186" s="6" t="s">
        <v>3068</v>
      </c>
      <c r="K186" s="6" t="s">
        <v>3071</v>
      </c>
      <c r="L186" t="s">
        <v>3259</v>
      </c>
      <c r="M186">
        <v>7</v>
      </c>
      <c r="N186" t="s">
        <v>4285</v>
      </c>
      <c r="O186" t="s">
        <v>4279</v>
      </c>
      <c r="P186">
        <v>858.16</v>
      </c>
    </row>
    <row r="187" spans="1:16" x14ac:dyDescent="0.3">
      <c r="A187" t="s">
        <v>199</v>
      </c>
      <c r="B187" s="3">
        <v>45690</v>
      </c>
      <c r="C187" s="7" t="str">
        <f t="shared" si="4"/>
        <v>2025</v>
      </c>
      <c r="D187" s="7" t="str">
        <f t="shared" si="5"/>
        <v>Feb</v>
      </c>
      <c r="E187" s="6" t="s">
        <v>1399</v>
      </c>
      <c r="F187" s="5" t="s">
        <v>2408</v>
      </c>
      <c r="G187">
        <v>1</v>
      </c>
      <c r="H187">
        <v>210.7</v>
      </c>
      <c r="I187" s="6" t="s">
        <v>2577</v>
      </c>
      <c r="J187" s="6" t="s">
        <v>3066</v>
      </c>
      <c r="K187" s="6" t="s">
        <v>3070</v>
      </c>
      <c r="L187" t="s">
        <v>3260</v>
      </c>
      <c r="M187">
        <v>2</v>
      </c>
      <c r="N187" t="s">
        <v>4277</v>
      </c>
      <c r="O187" t="s">
        <v>4279</v>
      </c>
      <c r="P187">
        <v>210.7</v>
      </c>
    </row>
    <row r="188" spans="1:16" x14ac:dyDescent="0.3">
      <c r="A188" t="s">
        <v>200</v>
      </c>
      <c r="B188" s="3">
        <v>45267</v>
      </c>
      <c r="C188" s="7" t="str">
        <f t="shared" si="4"/>
        <v>2023</v>
      </c>
      <c r="D188" s="7" t="str">
        <f t="shared" si="5"/>
        <v>Dec</v>
      </c>
      <c r="E188" s="6" t="s">
        <v>1400</v>
      </c>
      <c r="F188" s="5" t="s">
        <v>2404</v>
      </c>
      <c r="G188">
        <v>2</v>
      </c>
      <c r="H188">
        <v>133.55000000000001</v>
      </c>
      <c r="I188" s="6" t="s">
        <v>2578</v>
      </c>
      <c r="J188" s="6" t="s">
        <v>3069</v>
      </c>
      <c r="K188" s="6" t="s">
        <v>3074</v>
      </c>
      <c r="L188" t="s">
        <v>3261</v>
      </c>
      <c r="M188">
        <v>7</v>
      </c>
      <c r="N188" t="s">
        <v>4276</v>
      </c>
      <c r="O188" t="s">
        <v>4281</v>
      </c>
      <c r="P188">
        <v>267.10000000000002</v>
      </c>
    </row>
    <row r="189" spans="1:16" x14ac:dyDescent="0.3">
      <c r="A189" t="s">
        <v>201</v>
      </c>
      <c r="B189" s="3">
        <v>44965</v>
      </c>
      <c r="C189" s="7" t="str">
        <f t="shared" si="4"/>
        <v>2023</v>
      </c>
      <c r="D189" s="7" t="str">
        <f t="shared" si="5"/>
        <v>Feb</v>
      </c>
      <c r="E189" s="6" t="s">
        <v>1401</v>
      </c>
      <c r="F189" s="5" t="s">
        <v>2406</v>
      </c>
      <c r="G189">
        <v>1</v>
      </c>
      <c r="H189">
        <v>590.87</v>
      </c>
      <c r="I189" s="6" t="s">
        <v>2579</v>
      </c>
      <c r="J189" s="6" t="s">
        <v>3068</v>
      </c>
      <c r="K189" s="6" t="s">
        <v>3072</v>
      </c>
      <c r="L189" t="s">
        <v>3262</v>
      </c>
      <c r="M189">
        <v>6</v>
      </c>
      <c r="N189" t="s">
        <v>4276</v>
      </c>
      <c r="O189" t="s">
        <v>4279</v>
      </c>
      <c r="P189">
        <v>590.87</v>
      </c>
    </row>
    <row r="190" spans="1:16" x14ac:dyDescent="0.3">
      <c r="A190" t="s">
        <v>202</v>
      </c>
      <c r="B190" s="3">
        <v>45731</v>
      </c>
      <c r="C190" s="7" t="str">
        <f t="shared" si="4"/>
        <v>2025</v>
      </c>
      <c r="D190" s="7" t="str">
        <f t="shared" si="5"/>
        <v>Mar</v>
      </c>
      <c r="E190" s="6" t="s">
        <v>1402</v>
      </c>
      <c r="F190" s="5" t="s">
        <v>2406</v>
      </c>
      <c r="G190">
        <v>2</v>
      </c>
      <c r="H190">
        <v>363.91</v>
      </c>
      <c r="I190" s="6" t="s">
        <v>2580</v>
      </c>
      <c r="J190" s="6" t="s">
        <v>3068</v>
      </c>
      <c r="K190" s="6" t="s">
        <v>3070</v>
      </c>
      <c r="L190" t="s">
        <v>3263</v>
      </c>
      <c r="M190">
        <v>2</v>
      </c>
      <c r="N190" t="s">
        <v>4276</v>
      </c>
      <c r="O190" t="s">
        <v>4279</v>
      </c>
      <c r="P190">
        <v>727.82</v>
      </c>
    </row>
    <row r="191" spans="1:16" x14ac:dyDescent="0.3">
      <c r="A191" t="s">
        <v>203</v>
      </c>
      <c r="B191" s="3">
        <v>45112</v>
      </c>
      <c r="C191" s="7" t="str">
        <f t="shared" si="4"/>
        <v>2023</v>
      </c>
      <c r="D191" s="7" t="str">
        <f t="shared" si="5"/>
        <v>Jul</v>
      </c>
      <c r="E191" s="6" t="s">
        <v>1403</v>
      </c>
      <c r="F191" s="5" t="s">
        <v>2407</v>
      </c>
      <c r="G191">
        <v>5</v>
      </c>
      <c r="H191">
        <v>429.45</v>
      </c>
      <c r="I191" s="6" t="s">
        <v>2581</v>
      </c>
      <c r="J191" s="6" t="s">
        <v>3068</v>
      </c>
      <c r="K191" s="6" t="s">
        <v>3071</v>
      </c>
      <c r="L191" t="s">
        <v>3264</v>
      </c>
      <c r="M191">
        <v>5</v>
      </c>
      <c r="N191" t="s">
        <v>4277</v>
      </c>
      <c r="O191" t="s">
        <v>4280</v>
      </c>
      <c r="P191">
        <v>2147.25</v>
      </c>
    </row>
    <row r="192" spans="1:16" x14ac:dyDescent="0.3">
      <c r="A192" t="s">
        <v>204</v>
      </c>
      <c r="B192" s="3">
        <v>45535</v>
      </c>
      <c r="C192" s="7" t="str">
        <f t="shared" si="4"/>
        <v>2024</v>
      </c>
      <c r="D192" s="7" t="str">
        <f t="shared" si="5"/>
        <v>Aug</v>
      </c>
      <c r="E192" s="6" t="s">
        <v>1404</v>
      </c>
      <c r="F192" s="5" t="s">
        <v>2407</v>
      </c>
      <c r="G192">
        <v>3</v>
      </c>
      <c r="H192">
        <v>223.7</v>
      </c>
      <c r="I192" s="6" t="s">
        <v>2582</v>
      </c>
      <c r="J192" s="6" t="s">
        <v>3069</v>
      </c>
      <c r="K192" s="6" t="s">
        <v>3072</v>
      </c>
      <c r="L192" t="s">
        <v>3265</v>
      </c>
      <c r="M192">
        <v>3</v>
      </c>
      <c r="N192" t="s">
        <v>4275</v>
      </c>
      <c r="O192" t="s">
        <v>4280</v>
      </c>
      <c r="P192">
        <v>671.09999999999991</v>
      </c>
    </row>
    <row r="193" spans="1:16" x14ac:dyDescent="0.3">
      <c r="A193" t="s">
        <v>205</v>
      </c>
      <c r="B193" s="3">
        <v>45724</v>
      </c>
      <c r="C193" s="7" t="str">
        <f t="shared" si="4"/>
        <v>2025</v>
      </c>
      <c r="D193" s="7" t="str">
        <f t="shared" si="5"/>
        <v>Mar</v>
      </c>
      <c r="E193" s="6" t="s">
        <v>1405</v>
      </c>
      <c r="F193" s="5" t="s">
        <v>2408</v>
      </c>
      <c r="G193">
        <v>2</v>
      </c>
      <c r="H193">
        <v>488.87</v>
      </c>
      <c r="I193" s="6" t="s">
        <v>2583</v>
      </c>
      <c r="J193" s="6" t="s">
        <v>3066</v>
      </c>
      <c r="K193" s="6" t="s">
        <v>3071</v>
      </c>
      <c r="L193" t="s">
        <v>3266</v>
      </c>
      <c r="M193">
        <v>4</v>
      </c>
      <c r="N193" t="s">
        <v>4276</v>
      </c>
      <c r="O193" t="s">
        <v>4282</v>
      </c>
      <c r="P193">
        <v>977.74</v>
      </c>
    </row>
    <row r="194" spans="1:16" x14ac:dyDescent="0.3">
      <c r="A194" t="s">
        <v>206</v>
      </c>
      <c r="B194" s="3">
        <v>45149</v>
      </c>
      <c r="C194" s="7" t="str">
        <f t="shared" ref="C194:C257" si="6">TEXT(B194, "yyyy")</f>
        <v>2023</v>
      </c>
      <c r="D194" s="7" t="str">
        <f t="shared" ref="D194:D257" si="7">TEXT(B194, "MMM")</f>
        <v>Aug</v>
      </c>
      <c r="E194" s="6" t="s">
        <v>1406</v>
      </c>
      <c r="F194" s="5" t="s">
        <v>2409</v>
      </c>
      <c r="G194">
        <v>1</v>
      </c>
      <c r="H194">
        <v>645.46</v>
      </c>
      <c r="I194" s="6" t="s">
        <v>2541</v>
      </c>
      <c r="J194" s="6" t="s">
        <v>3068</v>
      </c>
      <c r="K194" s="6" t="s">
        <v>3071</v>
      </c>
      <c r="L194" t="s">
        <v>3267</v>
      </c>
      <c r="M194">
        <v>5</v>
      </c>
      <c r="N194" t="s">
        <v>4275</v>
      </c>
      <c r="O194" t="s">
        <v>4282</v>
      </c>
      <c r="P194">
        <v>645.46</v>
      </c>
    </row>
    <row r="195" spans="1:16" x14ac:dyDescent="0.3">
      <c r="A195" t="s">
        <v>207</v>
      </c>
      <c r="B195" s="3">
        <v>45128</v>
      </c>
      <c r="C195" s="7" t="str">
        <f t="shared" si="6"/>
        <v>2023</v>
      </c>
      <c r="D195" s="7" t="str">
        <f t="shared" si="7"/>
        <v>Jul</v>
      </c>
      <c r="E195" s="6" t="s">
        <v>1407</v>
      </c>
      <c r="F195" s="5" t="s">
        <v>2407</v>
      </c>
      <c r="G195">
        <v>1</v>
      </c>
      <c r="H195">
        <v>46.66</v>
      </c>
      <c r="I195" s="6" t="s">
        <v>2584</v>
      </c>
      <c r="J195" s="6" t="s">
        <v>3069</v>
      </c>
      <c r="K195" s="6" t="s">
        <v>3071</v>
      </c>
      <c r="L195" t="s">
        <v>3268</v>
      </c>
      <c r="M195">
        <v>6</v>
      </c>
      <c r="N195" t="s">
        <v>4285</v>
      </c>
      <c r="O195" t="s">
        <v>4282</v>
      </c>
      <c r="P195">
        <v>46.66</v>
      </c>
    </row>
    <row r="196" spans="1:16" x14ac:dyDescent="0.3">
      <c r="A196" t="s">
        <v>208</v>
      </c>
      <c r="B196" s="3">
        <v>45451</v>
      </c>
      <c r="C196" s="7" t="str">
        <f t="shared" si="6"/>
        <v>2024</v>
      </c>
      <c r="D196" s="7" t="str">
        <f t="shared" si="7"/>
        <v>Jun</v>
      </c>
      <c r="E196" s="6" t="s">
        <v>1408</v>
      </c>
      <c r="F196" s="5" t="s">
        <v>2403</v>
      </c>
      <c r="G196">
        <v>1</v>
      </c>
      <c r="H196">
        <v>249.57</v>
      </c>
      <c r="I196" s="6" t="s">
        <v>2585</v>
      </c>
      <c r="J196" s="6" t="s">
        <v>3069</v>
      </c>
      <c r="K196" s="6" t="s">
        <v>3070</v>
      </c>
      <c r="L196" t="s">
        <v>3269</v>
      </c>
      <c r="M196">
        <v>3</v>
      </c>
      <c r="N196" t="s">
        <v>4276</v>
      </c>
      <c r="O196" t="s">
        <v>4282</v>
      </c>
      <c r="P196">
        <v>249.57</v>
      </c>
    </row>
    <row r="197" spans="1:16" x14ac:dyDescent="0.3">
      <c r="A197" t="s">
        <v>209</v>
      </c>
      <c r="B197" s="3">
        <v>45404</v>
      </c>
      <c r="C197" s="7" t="str">
        <f t="shared" si="6"/>
        <v>2024</v>
      </c>
      <c r="D197" s="7" t="str">
        <f t="shared" si="7"/>
        <v>Apr</v>
      </c>
      <c r="E197" s="6" t="s">
        <v>1409</v>
      </c>
      <c r="F197" s="5" t="s">
        <v>2406</v>
      </c>
      <c r="G197">
        <v>3</v>
      </c>
      <c r="H197">
        <v>619.21</v>
      </c>
      <c r="I197" s="6" t="s">
        <v>2586</v>
      </c>
      <c r="J197" s="6" t="s">
        <v>3065</v>
      </c>
      <c r="K197" s="6" t="s">
        <v>3071</v>
      </c>
      <c r="L197" t="s">
        <v>3270</v>
      </c>
      <c r="M197">
        <v>6</v>
      </c>
      <c r="N197" t="s">
        <v>4285</v>
      </c>
      <c r="O197" t="s">
        <v>4280</v>
      </c>
      <c r="P197">
        <v>1857.63</v>
      </c>
    </row>
    <row r="198" spans="1:16" x14ac:dyDescent="0.3">
      <c r="A198" t="s">
        <v>210</v>
      </c>
      <c r="B198" s="3">
        <v>45681</v>
      </c>
      <c r="C198" s="7" t="str">
        <f t="shared" si="6"/>
        <v>2025</v>
      </c>
      <c r="D198" s="7" t="str">
        <f t="shared" si="7"/>
        <v>Jan</v>
      </c>
      <c r="E198" s="6" t="s">
        <v>1410</v>
      </c>
      <c r="F198" s="5" t="s">
        <v>2409</v>
      </c>
      <c r="G198">
        <v>4</v>
      </c>
      <c r="H198">
        <v>217.13</v>
      </c>
      <c r="I198" s="6" t="s">
        <v>2587</v>
      </c>
      <c r="J198" s="6" t="s">
        <v>3069</v>
      </c>
      <c r="K198" s="6" t="s">
        <v>3073</v>
      </c>
      <c r="L198" t="s">
        <v>3271</v>
      </c>
      <c r="M198">
        <v>8</v>
      </c>
      <c r="N198" t="s">
        <v>4277</v>
      </c>
      <c r="O198" t="s">
        <v>4280</v>
      </c>
      <c r="P198">
        <v>868.52</v>
      </c>
    </row>
    <row r="199" spans="1:16" x14ac:dyDescent="0.3">
      <c r="A199" t="s">
        <v>211</v>
      </c>
      <c r="B199" s="3">
        <v>45165</v>
      </c>
      <c r="C199" s="7" t="str">
        <f t="shared" si="6"/>
        <v>2023</v>
      </c>
      <c r="D199" s="7" t="str">
        <f t="shared" si="7"/>
        <v>Aug</v>
      </c>
      <c r="E199" s="6" t="s">
        <v>1411</v>
      </c>
      <c r="F199" s="5" t="s">
        <v>2408</v>
      </c>
      <c r="G199">
        <v>5</v>
      </c>
      <c r="H199">
        <v>221.51</v>
      </c>
      <c r="I199" s="6" t="s">
        <v>2588</v>
      </c>
      <c r="J199" s="6" t="s">
        <v>3069</v>
      </c>
      <c r="K199" s="6" t="s">
        <v>3072</v>
      </c>
      <c r="L199" t="s">
        <v>3272</v>
      </c>
      <c r="M199">
        <v>5</v>
      </c>
      <c r="N199" t="s">
        <v>4277</v>
      </c>
      <c r="O199" t="s">
        <v>4279</v>
      </c>
      <c r="P199">
        <v>1107.55</v>
      </c>
    </row>
    <row r="200" spans="1:16" x14ac:dyDescent="0.3">
      <c r="A200" t="s">
        <v>212</v>
      </c>
      <c r="B200" s="3">
        <v>45454</v>
      </c>
      <c r="C200" s="7" t="str">
        <f t="shared" si="6"/>
        <v>2024</v>
      </c>
      <c r="D200" s="7" t="str">
        <f t="shared" si="7"/>
        <v>Jun</v>
      </c>
      <c r="E200" s="6" t="s">
        <v>1412</v>
      </c>
      <c r="F200" s="5" t="s">
        <v>2408</v>
      </c>
      <c r="G200">
        <v>4</v>
      </c>
      <c r="H200">
        <v>340.3</v>
      </c>
      <c r="I200" s="6" t="s">
        <v>2444</v>
      </c>
      <c r="J200" s="6" t="s">
        <v>3069</v>
      </c>
      <c r="K200" s="6" t="s">
        <v>3071</v>
      </c>
      <c r="L200" t="s">
        <v>3273</v>
      </c>
      <c r="M200">
        <v>8</v>
      </c>
      <c r="N200" t="s">
        <v>4275</v>
      </c>
      <c r="O200" t="s">
        <v>4279</v>
      </c>
      <c r="P200">
        <v>1361.2</v>
      </c>
    </row>
    <row r="201" spans="1:16" x14ac:dyDescent="0.3">
      <c r="A201" t="s">
        <v>213</v>
      </c>
      <c r="B201" s="3">
        <v>45680</v>
      </c>
      <c r="C201" s="7" t="str">
        <f t="shared" si="6"/>
        <v>2025</v>
      </c>
      <c r="D201" s="7" t="str">
        <f t="shared" si="7"/>
        <v>Jan</v>
      </c>
      <c r="E201" s="6" t="s">
        <v>1413</v>
      </c>
      <c r="F201" s="5" t="s">
        <v>2404</v>
      </c>
      <c r="G201">
        <v>1</v>
      </c>
      <c r="H201">
        <v>625</v>
      </c>
      <c r="I201" s="6" t="s">
        <v>2589</v>
      </c>
      <c r="J201" s="6" t="s">
        <v>3066</v>
      </c>
      <c r="K201" s="6" t="s">
        <v>3072</v>
      </c>
      <c r="L201" t="s">
        <v>3274</v>
      </c>
      <c r="M201">
        <v>5</v>
      </c>
      <c r="N201" t="s">
        <v>4277</v>
      </c>
      <c r="O201" t="s">
        <v>4282</v>
      </c>
      <c r="P201">
        <v>625</v>
      </c>
    </row>
    <row r="202" spans="1:16" x14ac:dyDescent="0.3">
      <c r="A202" t="s">
        <v>214</v>
      </c>
      <c r="B202" s="3">
        <v>45815</v>
      </c>
      <c r="C202" s="7" t="str">
        <f t="shared" si="6"/>
        <v>2025</v>
      </c>
      <c r="D202" s="7" t="str">
        <f t="shared" si="7"/>
        <v>Jun</v>
      </c>
      <c r="E202" s="6" t="s">
        <v>1414</v>
      </c>
      <c r="F202" s="5" t="s">
        <v>2405</v>
      </c>
      <c r="G202">
        <v>5</v>
      </c>
      <c r="H202">
        <v>433.26</v>
      </c>
      <c r="I202" s="6" t="s">
        <v>2440</v>
      </c>
      <c r="J202" s="6" t="s">
        <v>3067</v>
      </c>
      <c r="K202" s="6" t="s">
        <v>3073</v>
      </c>
      <c r="L202" t="s">
        <v>3275</v>
      </c>
      <c r="M202">
        <v>9</v>
      </c>
      <c r="N202" t="s">
        <v>4275</v>
      </c>
      <c r="O202" t="s">
        <v>4282</v>
      </c>
      <c r="P202">
        <v>2166.3000000000002</v>
      </c>
    </row>
    <row r="203" spans="1:16" x14ac:dyDescent="0.3">
      <c r="A203" t="s">
        <v>215</v>
      </c>
      <c r="B203" s="3">
        <v>45095</v>
      </c>
      <c r="C203" s="7" t="str">
        <f t="shared" si="6"/>
        <v>2023</v>
      </c>
      <c r="D203" s="7" t="str">
        <f t="shared" si="7"/>
        <v>Jun</v>
      </c>
      <c r="E203" s="6" t="s">
        <v>1415</v>
      </c>
      <c r="F203" s="5" t="s">
        <v>2403</v>
      </c>
      <c r="G203">
        <v>2</v>
      </c>
      <c r="H203">
        <v>674.9</v>
      </c>
      <c r="I203" s="6" t="s">
        <v>2482</v>
      </c>
      <c r="J203" s="6" t="s">
        <v>3066</v>
      </c>
      <c r="K203" s="6" t="s">
        <v>3070</v>
      </c>
      <c r="L203" t="s">
        <v>3276</v>
      </c>
      <c r="M203">
        <v>4</v>
      </c>
      <c r="N203" t="s">
        <v>4275</v>
      </c>
      <c r="O203" t="s">
        <v>4281</v>
      </c>
      <c r="P203">
        <v>1349.8</v>
      </c>
    </row>
    <row r="204" spans="1:16" x14ac:dyDescent="0.3">
      <c r="A204" t="s">
        <v>216</v>
      </c>
      <c r="B204" s="3">
        <v>45694</v>
      </c>
      <c r="C204" s="7" t="str">
        <f t="shared" si="6"/>
        <v>2025</v>
      </c>
      <c r="D204" s="7" t="str">
        <f t="shared" si="7"/>
        <v>Feb</v>
      </c>
      <c r="E204" s="6" t="s">
        <v>1416</v>
      </c>
      <c r="F204" s="5" t="s">
        <v>2403</v>
      </c>
      <c r="G204">
        <v>3</v>
      </c>
      <c r="H204">
        <v>253.98</v>
      </c>
      <c r="I204" s="6" t="s">
        <v>2535</v>
      </c>
      <c r="J204" s="6" t="s">
        <v>3067</v>
      </c>
      <c r="K204" s="6" t="s">
        <v>3071</v>
      </c>
      <c r="L204" t="s">
        <v>3277</v>
      </c>
      <c r="M204">
        <v>3</v>
      </c>
      <c r="N204" t="s">
        <v>4276</v>
      </c>
      <c r="O204" t="s">
        <v>4280</v>
      </c>
      <c r="P204">
        <v>761.93999999999994</v>
      </c>
    </row>
    <row r="205" spans="1:16" x14ac:dyDescent="0.3">
      <c r="A205" t="s">
        <v>217</v>
      </c>
      <c r="B205" s="3">
        <v>45678</v>
      </c>
      <c r="C205" s="7" t="str">
        <f t="shared" si="6"/>
        <v>2025</v>
      </c>
      <c r="D205" s="7" t="str">
        <f t="shared" si="7"/>
        <v>Jan</v>
      </c>
      <c r="E205" s="6" t="s">
        <v>1417</v>
      </c>
      <c r="F205" s="5" t="s">
        <v>2407</v>
      </c>
      <c r="G205">
        <v>3</v>
      </c>
      <c r="H205">
        <v>356.84</v>
      </c>
      <c r="I205" s="6" t="s">
        <v>2590</v>
      </c>
      <c r="J205" s="6" t="s">
        <v>3066</v>
      </c>
      <c r="K205" s="6" t="s">
        <v>3070</v>
      </c>
      <c r="L205" t="s">
        <v>3278</v>
      </c>
      <c r="M205">
        <v>5</v>
      </c>
      <c r="N205" t="s">
        <v>4275</v>
      </c>
      <c r="O205" t="s">
        <v>4278</v>
      </c>
      <c r="P205">
        <v>1070.52</v>
      </c>
    </row>
    <row r="206" spans="1:16" x14ac:dyDescent="0.3">
      <c r="A206" t="s">
        <v>218</v>
      </c>
      <c r="B206" s="3">
        <v>45174</v>
      </c>
      <c r="C206" s="7" t="str">
        <f t="shared" si="6"/>
        <v>2023</v>
      </c>
      <c r="D206" s="7" t="str">
        <f t="shared" si="7"/>
        <v>Sept</v>
      </c>
      <c r="E206" s="6" t="s">
        <v>1418</v>
      </c>
      <c r="F206" s="5" t="s">
        <v>2408</v>
      </c>
      <c r="G206">
        <v>4</v>
      </c>
      <c r="H206">
        <v>413.71</v>
      </c>
      <c r="I206" s="6" t="s">
        <v>2539</v>
      </c>
      <c r="J206" s="6" t="s">
        <v>3068</v>
      </c>
      <c r="K206" s="6" t="s">
        <v>3071</v>
      </c>
      <c r="L206" t="s">
        <v>3279</v>
      </c>
      <c r="M206">
        <v>9</v>
      </c>
      <c r="N206" t="s">
        <v>4276</v>
      </c>
      <c r="O206" t="s">
        <v>4281</v>
      </c>
      <c r="P206">
        <v>1654.84</v>
      </c>
    </row>
    <row r="207" spans="1:16" x14ac:dyDescent="0.3">
      <c r="A207" t="s">
        <v>219</v>
      </c>
      <c r="B207" s="3">
        <v>44989</v>
      </c>
      <c r="C207" s="7" t="str">
        <f t="shared" si="6"/>
        <v>2023</v>
      </c>
      <c r="D207" s="7" t="str">
        <f t="shared" si="7"/>
        <v>Mar</v>
      </c>
      <c r="E207" s="6" t="s">
        <v>1419</v>
      </c>
      <c r="F207" s="5" t="s">
        <v>2409</v>
      </c>
      <c r="G207">
        <v>3</v>
      </c>
      <c r="H207">
        <v>147.38999999999999</v>
      </c>
      <c r="I207" s="6" t="s">
        <v>2591</v>
      </c>
      <c r="J207" s="6" t="s">
        <v>3065</v>
      </c>
      <c r="K207" s="6" t="s">
        <v>3072</v>
      </c>
      <c r="L207" t="s">
        <v>3280</v>
      </c>
      <c r="M207">
        <v>3</v>
      </c>
      <c r="N207" t="s">
        <v>4285</v>
      </c>
      <c r="O207" t="s">
        <v>4280</v>
      </c>
      <c r="P207">
        <v>442.17</v>
      </c>
    </row>
    <row r="208" spans="1:16" x14ac:dyDescent="0.3">
      <c r="A208" t="s">
        <v>220</v>
      </c>
      <c r="B208" s="3">
        <v>45398</v>
      </c>
      <c r="C208" s="7" t="str">
        <f t="shared" si="6"/>
        <v>2024</v>
      </c>
      <c r="D208" s="7" t="str">
        <f t="shared" si="7"/>
        <v>Apr</v>
      </c>
      <c r="E208" s="6" t="s">
        <v>1420</v>
      </c>
      <c r="F208" s="5" t="s">
        <v>2408</v>
      </c>
      <c r="G208">
        <v>4</v>
      </c>
      <c r="H208">
        <v>229.1</v>
      </c>
      <c r="I208" s="6" t="s">
        <v>2592</v>
      </c>
      <c r="J208" s="6" t="s">
        <v>3068</v>
      </c>
      <c r="K208" s="6" t="s">
        <v>3072</v>
      </c>
      <c r="L208" t="s">
        <v>3281</v>
      </c>
      <c r="M208">
        <v>8</v>
      </c>
      <c r="N208" t="s">
        <v>4277</v>
      </c>
      <c r="O208" t="s">
        <v>4280</v>
      </c>
      <c r="P208">
        <v>916.4</v>
      </c>
    </row>
    <row r="209" spans="1:16" x14ac:dyDescent="0.3">
      <c r="A209" t="s">
        <v>221</v>
      </c>
      <c r="B209" s="3">
        <v>45734</v>
      </c>
      <c r="C209" s="7" t="str">
        <f t="shared" si="6"/>
        <v>2025</v>
      </c>
      <c r="D209" s="7" t="str">
        <f t="shared" si="7"/>
        <v>Mar</v>
      </c>
      <c r="E209" s="6" t="s">
        <v>1421</v>
      </c>
      <c r="F209" s="5" t="s">
        <v>2404</v>
      </c>
      <c r="G209">
        <v>1</v>
      </c>
      <c r="H209">
        <v>121.96</v>
      </c>
      <c r="I209" s="6" t="s">
        <v>2593</v>
      </c>
      <c r="J209" s="6" t="s">
        <v>3065</v>
      </c>
      <c r="K209" s="6" t="s">
        <v>3073</v>
      </c>
      <c r="L209" t="s">
        <v>3282</v>
      </c>
      <c r="M209">
        <v>3</v>
      </c>
      <c r="N209" t="s">
        <v>4285</v>
      </c>
      <c r="O209" t="s">
        <v>4282</v>
      </c>
      <c r="P209">
        <v>121.96</v>
      </c>
    </row>
    <row r="210" spans="1:16" x14ac:dyDescent="0.3">
      <c r="A210" t="s">
        <v>222</v>
      </c>
      <c r="B210" s="3">
        <v>45573</v>
      </c>
      <c r="C210" s="7" t="str">
        <f t="shared" si="6"/>
        <v>2024</v>
      </c>
      <c r="D210" s="7" t="str">
        <f t="shared" si="7"/>
        <v>Oct</v>
      </c>
      <c r="E210" s="6" t="s">
        <v>1422</v>
      </c>
      <c r="F210" s="5" t="s">
        <v>2409</v>
      </c>
      <c r="G210">
        <v>2</v>
      </c>
      <c r="H210">
        <v>408.32</v>
      </c>
      <c r="I210" s="6" t="s">
        <v>2581</v>
      </c>
      <c r="J210" s="6" t="s">
        <v>3066</v>
      </c>
      <c r="K210" s="6" t="s">
        <v>3070</v>
      </c>
      <c r="L210" t="s">
        <v>3283</v>
      </c>
      <c r="M210">
        <v>3</v>
      </c>
      <c r="N210" t="s">
        <v>4276</v>
      </c>
      <c r="O210" t="s">
        <v>4281</v>
      </c>
      <c r="P210">
        <v>816.64</v>
      </c>
    </row>
    <row r="211" spans="1:16" x14ac:dyDescent="0.3">
      <c r="A211" t="s">
        <v>223</v>
      </c>
      <c r="B211" s="3">
        <v>45167</v>
      </c>
      <c r="C211" s="7" t="str">
        <f t="shared" si="6"/>
        <v>2023</v>
      </c>
      <c r="D211" s="7" t="str">
        <f t="shared" si="7"/>
        <v>Aug</v>
      </c>
      <c r="E211" s="6" t="s">
        <v>1423</v>
      </c>
      <c r="F211" s="5" t="s">
        <v>2405</v>
      </c>
      <c r="G211">
        <v>5</v>
      </c>
      <c r="H211">
        <v>187.97</v>
      </c>
      <c r="I211" s="6" t="s">
        <v>2417</v>
      </c>
      <c r="J211" s="6" t="s">
        <v>3069</v>
      </c>
      <c r="K211" s="6" t="s">
        <v>3072</v>
      </c>
      <c r="L211" t="s">
        <v>3284</v>
      </c>
      <c r="M211">
        <v>9</v>
      </c>
      <c r="N211" t="s">
        <v>4275</v>
      </c>
      <c r="O211" t="s">
        <v>4282</v>
      </c>
      <c r="P211">
        <v>939.85</v>
      </c>
    </row>
    <row r="212" spans="1:16" x14ac:dyDescent="0.3">
      <c r="A212" t="s">
        <v>224</v>
      </c>
      <c r="B212" s="3">
        <v>45631</v>
      </c>
      <c r="C212" s="7" t="str">
        <f t="shared" si="6"/>
        <v>2024</v>
      </c>
      <c r="D212" s="7" t="str">
        <f t="shared" si="7"/>
        <v>Dec</v>
      </c>
      <c r="E212" s="6" t="s">
        <v>1424</v>
      </c>
      <c r="F212" s="5" t="s">
        <v>2406</v>
      </c>
      <c r="G212">
        <v>3</v>
      </c>
      <c r="H212">
        <v>358.48</v>
      </c>
      <c r="I212" s="6" t="s">
        <v>2532</v>
      </c>
      <c r="J212" s="6" t="s">
        <v>3068</v>
      </c>
      <c r="K212" s="6" t="s">
        <v>3073</v>
      </c>
      <c r="L212" t="s">
        <v>3285</v>
      </c>
      <c r="M212">
        <v>7</v>
      </c>
      <c r="N212" t="s">
        <v>4276</v>
      </c>
      <c r="O212" t="s">
        <v>4281</v>
      </c>
      <c r="P212">
        <v>1075.44</v>
      </c>
    </row>
    <row r="213" spans="1:16" x14ac:dyDescent="0.3">
      <c r="A213" t="s">
        <v>225</v>
      </c>
      <c r="B213" s="3">
        <v>45660</v>
      </c>
      <c r="C213" s="7" t="str">
        <f t="shared" si="6"/>
        <v>2025</v>
      </c>
      <c r="D213" s="7" t="str">
        <f t="shared" si="7"/>
        <v>Jan</v>
      </c>
      <c r="E213" s="6" t="s">
        <v>1425</v>
      </c>
      <c r="F213" s="5" t="s">
        <v>2407</v>
      </c>
      <c r="G213">
        <v>3</v>
      </c>
      <c r="H213">
        <v>193.58</v>
      </c>
      <c r="I213" s="6" t="s">
        <v>2594</v>
      </c>
      <c r="J213" s="6" t="s">
        <v>3068</v>
      </c>
      <c r="K213" s="6" t="s">
        <v>3074</v>
      </c>
      <c r="L213" t="s">
        <v>3286</v>
      </c>
      <c r="M213">
        <v>7</v>
      </c>
      <c r="N213" t="s">
        <v>4276</v>
      </c>
      <c r="O213" t="s">
        <v>4280</v>
      </c>
      <c r="P213">
        <v>580.74</v>
      </c>
    </row>
    <row r="214" spans="1:16" x14ac:dyDescent="0.3">
      <c r="A214" t="s">
        <v>226</v>
      </c>
      <c r="B214" s="3">
        <v>45097</v>
      </c>
      <c r="C214" s="7" t="str">
        <f t="shared" si="6"/>
        <v>2023</v>
      </c>
      <c r="D214" s="7" t="str">
        <f t="shared" si="7"/>
        <v>Jun</v>
      </c>
      <c r="E214" s="6" t="s">
        <v>1426</v>
      </c>
      <c r="F214" s="5" t="s">
        <v>2403</v>
      </c>
      <c r="G214">
        <v>1</v>
      </c>
      <c r="H214">
        <v>265.38</v>
      </c>
      <c r="I214" s="6" t="s">
        <v>2595</v>
      </c>
      <c r="J214" s="6" t="s">
        <v>3067</v>
      </c>
      <c r="K214" s="6" t="s">
        <v>3071</v>
      </c>
      <c r="L214" t="s">
        <v>3287</v>
      </c>
      <c r="M214">
        <v>6</v>
      </c>
      <c r="N214" t="s">
        <v>4277</v>
      </c>
      <c r="O214" t="s">
        <v>4280</v>
      </c>
      <c r="P214">
        <v>265.38</v>
      </c>
    </row>
    <row r="215" spans="1:16" x14ac:dyDescent="0.3">
      <c r="A215" t="s">
        <v>227</v>
      </c>
      <c r="B215" s="3">
        <v>45036</v>
      </c>
      <c r="C215" s="7" t="str">
        <f t="shared" si="6"/>
        <v>2023</v>
      </c>
      <c r="D215" s="7" t="str">
        <f t="shared" si="7"/>
        <v>Apr</v>
      </c>
      <c r="E215" s="6" t="s">
        <v>1427</v>
      </c>
      <c r="F215" s="5" t="s">
        <v>2408</v>
      </c>
      <c r="G215">
        <v>1</v>
      </c>
      <c r="H215">
        <v>634.4</v>
      </c>
      <c r="I215" s="6" t="s">
        <v>2596</v>
      </c>
      <c r="J215" s="6" t="s">
        <v>3069</v>
      </c>
      <c r="K215" s="6" t="s">
        <v>3071</v>
      </c>
      <c r="L215" t="s">
        <v>3288</v>
      </c>
      <c r="M215">
        <v>6</v>
      </c>
      <c r="N215" t="s">
        <v>4275</v>
      </c>
      <c r="O215" t="s">
        <v>4280</v>
      </c>
      <c r="P215">
        <v>634.4</v>
      </c>
    </row>
    <row r="216" spans="1:16" x14ac:dyDescent="0.3">
      <c r="A216" t="s">
        <v>228</v>
      </c>
      <c r="B216" s="3">
        <v>45525</v>
      </c>
      <c r="C216" s="7" t="str">
        <f t="shared" si="6"/>
        <v>2024</v>
      </c>
      <c r="D216" s="7" t="str">
        <f t="shared" si="7"/>
        <v>Aug</v>
      </c>
      <c r="E216" s="6" t="s">
        <v>1428</v>
      </c>
      <c r="F216" s="5" t="s">
        <v>2409</v>
      </c>
      <c r="G216">
        <v>4</v>
      </c>
      <c r="H216">
        <v>305.72000000000003</v>
      </c>
      <c r="I216" s="6" t="s">
        <v>2523</v>
      </c>
      <c r="J216" s="6" t="s">
        <v>3066</v>
      </c>
      <c r="K216" s="6" t="s">
        <v>3073</v>
      </c>
      <c r="L216" t="s">
        <v>3289</v>
      </c>
      <c r="M216">
        <v>5</v>
      </c>
      <c r="N216" t="s">
        <v>4285</v>
      </c>
      <c r="O216" t="s">
        <v>4281</v>
      </c>
      <c r="P216">
        <v>1222.8800000000001</v>
      </c>
    </row>
    <row r="217" spans="1:16" x14ac:dyDescent="0.3">
      <c r="A217" t="s">
        <v>229</v>
      </c>
      <c r="B217" s="3">
        <v>45148</v>
      </c>
      <c r="C217" s="7" t="str">
        <f t="shared" si="6"/>
        <v>2023</v>
      </c>
      <c r="D217" s="7" t="str">
        <f t="shared" si="7"/>
        <v>Aug</v>
      </c>
      <c r="E217" s="6" t="s">
        <v>1429</v>
      </c>
      <c r="F217" s="5" t="s">
        <v>2407</v>
      </c>
      <c r="G217">
        <v>1</v>
      </c>
      <c r="H217">
        <v>303.60000000000002</v>
      </c>
      <c r="I217" s="6" t="s">
        <v>2597</v>
      </c>
      <c r="J217" s="6" t="s">
        <v>3069</v>
      </c>
      <c r="K217" s="6" t="s">
        <v>3070</v>
      </c>
      <c r="L217" t="s">
        <v>3290</v>
      </c>
      <c r="M217">
        <v>5</v>
      </c>
      <c r="N217" t="s">
        <v>4276</v>
      </c>
      <c r="O217" t="s">
        <v>4281</v>
      </c>
      <c r="P217">
        <v>303.60000000000002</v>
      </c>
    </row>
    <row r="218" spans="1:16" x14ac:dyDescent="0.3">
      <c r="A218" t="s">
        <v>230</v>
      </c>
      <c r="B218" s="3">
        <v>45762</v>
      </c>
      <c r="C218" s="7" t="str">
        <f t="shared" si="6"/>
        <v>2025</v>
      </c>
      <c r="D218" s="7" t="str">
        <f t="shared" si="7"/>
        <v>Apr</v>
      </c>
      <c r="E218" s="6" t="s">
        <v>1430</v>
      </c>
      <c r="F218" s="5" t="s">
        <v>2403</v>
      </c>
      <c r="G218">
        <v>4</v>
      </c>
      <c r="H218">
        <v>496</v>
      </c>
      <c r="I218" s="6" t="s">
        <v>2465</v>
      </c>
      <c r="J218" s="6" t="s">
        <v>3066</v>
      </c>
      <c r="K218" s="6" t="s">
        <v>3071</v>
      </c>
      <c r="L218" t="s">
        <v>3291</v>
      </c>
      <c r="M218">
        <v>8</v>
      </c>
      <c r="N218" t="s">
        <v>4277</v>
      </c>
      <c r="O218" t="s">
        <v>4282</v>
      </c>
      <c r="P218">
        <v>1984</v>
      </c>
    </row>
    <row r="219" spans="1:16" x14ac:dyDescent="0.3">
      <c r="A219" t="s">
        <v>231</v>
      </c>
      <c r="B219" s="3">
        <v>45432</v>
      </c>
      <c r="C219" s="7" t="str">
        <f t="shared" si="6"/>
        <v>2024</v>
      </c>
      <c r="D219" s="7" t="str">
        <f t="shared" si="7"/>
        <v>May</v>
      </c>
      <c r="E219" s="6" t="s">
        <v>1431</v>
      </c>
      <c r="F219" s="5" t="s">
        <v>2409</v>
      </c>
      <c r="G219">
        <v>4</v>
      </c>
      <c r="H219">
        <v>321.51</v>
      </c>
      <c r="I219" s="6" t="s">
        <v>2598</v>
      </c>
      <c r="J219" s="6" t="s">
        <v>3069</v>
      </c>
      <c r="K219" s="6" t="s">
        <v>3072</v>
      </c>
      <c r="L219" t="s">
        <v>3292</v>
      </c>
      <c r="M219">
        <v>9</v>
      </c>
      <c r="N219" t="s">
        <v>4285</v>
      </c>
      <c r="O219" t="s">
        <v>4282</v>
      </c>
      <c r="P219">
        <v>1286.04</v>
      </c>
    </row>
    <row r="220" spans="1:16" x14ac:dyDescent="0.3">
      <c r="A220" t="s">
        <v>232</v>
      </c>
      <c r="B220" s="3">
        <v>45044</v>
      </c>
      <c r="C220" s="7" t="str">
        <f t="shared" si="6"/>
        <v>2023</v>
      </c>
      <c r="D220" s="7" t="str">
        <f t="shared" si="7"/>
        <v>Apr</v>
      </c>
      <c r="E220" s="6" t="s">
        <v>1432</v>
      </c>
      <c r="F220" s="5" t="s">
        <v>2405</v>
      </c>
      <c r="G220">
        <v>3</v>
      </c>
      <c r="H220">
        <v>112.46</v>
      </c>
      <c r="I220" s="6" t="s">
        <v>2599</v>
      </c>
      <c r="J220" s="6" t="s">
        <v>3068</v>
      </c>
      <c r="K220" s="6" t="s">
        <v>3070</v>
      </c>
      <c r="L220" t="s">
        <v>3293</v>
      </c>
      <c r="M220">
        <v>6</v>
      </c>
      <c r="N220" t="s">
        <v>4275</v>
      </c>
      <c r="O220" t="s">
        <v>4278</v>
      </c>
      <c r="P220">
        <v>337.38</v>
      </c>
    </row>
    <row r="221" spans="1:16" x14ac:dyDescent="0.3">
      <c r="A221" t="s">
        <v>233</v>
      </c>
      <c r="B221" s="3">
        <v>45779</v>
      </c>
      <c r="C221" s="7" t="str">
        <f t="shared" si="6"/>
        <v>2025</v>
      </c>
      <c r="D221" s="7" t="str">
        <f t="shared" si="7"/>
        <v>May</v>
      </c>
      <c r="E221" s="6" t="s">
        <v>1433</v>
      </c>
      <c r="F221" s="5" t="s">
        <v>2408</v>
      </c>
      <c r="G221">
        <v>5</v>
      </c>
      <c r="H221">
        <v>61.97</v>
      </c>
      <c r="I221" s="6" t="s">
        <v>2600</v>
      </c>
      <c r="J221" s="6" t="s">
        <v>3069</v>
      </c>
      <c r="K221" s="6" t="s">
        <v>3073</v>
      </c>
      <c r="L221" t="s">
        <v>3294</v>
      </c>
      <c r="M221">
        <v>6</v>
      </c>
      <c r="N221" t="s">
        <v>4275</v>
      </c>
      <c r="O221" t="s">
        <v>4280</v>
      </c>
      <c r="P221">
        <v>309.85000000000002</v>
      </c>
    </row>
    <row r="222" spans="1:16" x14ac:dyDescent="0.3">
      <c r="A222" t="s">
        <v>234</v>
      </c>
      <c r="B222" s="3">
        <v>45125</v>
      </c>
      <c r="C222" s="7" t="str">
        <f t="shared" si="6"/>
        <v>2023</v>
      </c>
      <c r="D222" s="7" t="str">
        <f t="shared" si="7"/>
        <v>Jul</v>
      </c>
      <c r="E222" s="6" t="s">
        <v>1434</v>
      </c>
      <c r="F222" s="5" t="s">
        <v>2408</v>
      </c>
      <c r="G222">
        <v>2</v>
      </c>
      <c r="H222">
        <v>373.17</v>
      </c>
      <c r="I222" s="6" t="s">
        <v>2601</v>
      </c>
      <c r="J222" s="6" t="s">
        <v>3067</v>
      </c>
      <c r="K222" s="6" t="s">
        <v>3074</v>
      </c>
      <c r="L222" t="s">
        <v>3295</v>
      </c>
      <c r="M222">
        <v>6</v>
      </c>
      <c r="N222" t="s">
        <v>4275</v>
      </c>
      <c r="O222" t="s">
        <v>4279</v>
      </c>
      <c r="P222">
        <v>746.34</v>
      </c>
    </row>
    <row r="223" spans="1:16" x14ac:dyDescent="0.3">
      <c r="A223" t="s">
        <v>235</v>
      </c>
      <c r="B223" s="3">
        <v>45345</v>
      </c>
      <c r="C223" s="7" t="str">
        <f t="shared" si="6"/>
        <v>2024</v>
      </c>
      <c r="D223" s="7" t="str">
        <f t="shared" si="7"/>
        <v>Feb</v>
      </c>
      <c r="E223" s="6" t="s">
        <v>1435</v>
      </c>
      <c r="F223" s="5" t="s">
        <v>2405</v>
      </c>
      <c r="G223">
        <v>5</v>
      </c>
      <c r="H223">
        <v>639.37</v>
      </c>
      <c r="I223" s="6" t="s">
        <v>2474</v>
      </c>
      <c r="J223" s="6" t="s">
        <v>3065</v>
      </c>
      <c r="K223" s="6" t="s">
        <v>3074</v>
      </c>
      <c r="L223" t="s">
        <v>3296</v>
      </c>
      <c r="M223">
        <v>6</v>
      </c>
      <c r="N223" t="s">
        <v>4275</v>
      </c>
      <c r="O223" t="s">
        <v>4282</v>
      </c>
      <c r="P223">
        <v>3196.85</v>
      </c>
    </row>
    <row r="224" spans="1:16" x14ac:dyDescent="0.3">
      <c r="A224" t="s">
        <v>236</v>
      </c>
      <c r="B224" s="3">
        <v>45050</v>
      </c>
      <c r="C224" s="7" t="str">
        <f t="shared" si="6"/>
        <v>2023</v>
      </c>
      <c r="D224" s="7" t="str">
        <f t="shared" si="7"/>
        <v>May</v>
      </c>
      <c r="E224" s="6" t="s">
        <v>1436</v>
      </c>
      <c r="F224" s="5" t="s">
        <v>2406</v>
      </c>
      <c r="G224">
        <v>4</v>
      </c>
      <c r="H224">
        <v>693.36</v>
      </c>
      <c r="I224" s="6" t="s">
        <v>2602</v>
      </c>
      <c r="J224" s="6" t="s">
        <v>3066</v>
      </c>
      <c r="K224" s="6" t="s">
        <v>3070</v>
      </c>
      <c r="L224" t="s">
        <v>3297</v>
      </c>
      <c r="M224">
        <v>8</v>
      </c>
      <c r="N224" t="s">
        <v>4285</v>
      </c>
      <c r="O224" t="s">
        <v>4278</v>
      </c>
      <c r="P224">
        <v>2773.44</v>
      </c>
    </row>
    <row r="225" spans="1:16" x14ac:dyDescent="0.3">
      <c r="A225" t="s">
        <v>237</v>
      </c>
      <c r="B225" s="3">
        <v>45546</v>
      </c>
      <c r="C225" s="7" t="str">
        <f t="shared" si="6"/>
        <v>2024</v>
      </c>
      <c r="D225" s="7" t="str">
        <f t="shared" si="7"/>
        <v>Sept</v>
      </c>
      <c r="E225" s="6" t="s">
        <v>1437</v>
      </c>
      <c r="F225" s="5" t="s">
        <v>2404</v>
      </c>
      <c r="G225">
        <v>4</v>
      </c>
      <c r="H225">
        <v>692.91</v>
      </c>
      <c r="I225" s="6" t="s">
        <v>2523</v>
      </c>
      <c r="J225" s="6" t="s">
        <v>3067</v>
      </c>
      <c r="K225" s="6" t="s">
        <v>3074</v>
      </c>
      <c r="L225" t="s">
        <v>3298</v>
      </c>
      <c r="M225">
        <v>9</v>
      </c>
      <c r="N225" t="s">
        <v>4275</v>
      </c>
      <c r="O225" t="s">
        <v>4278</v>
      </c>
      <c r="P225">
        <v>2771.64</v>
      </c>
    </row>
    <row r="226" spans="1:16" x14ac:dyDescent="0.3">
      <c r="A226" t="s">
        <v>238</v>
      </c>
      <c r="B226" s="3">
        <v>45192</v>
      </c>
      <c r="C226" s="7" t="str">
        <f t="shared" si="6"/>
        <v>2023</v>
      </c>
      <c r="D226" s="7" t="str">
        <f t="shared" si="7"/>
        <v>Sept</v>
      </c>
      <c r="E226" s="6" t="s">
        <v>1438</v>
      </c>
      <c r="F226" s="5" t="s">
        <v>2407</v>
      </c>
      <c r="G226">
        <v>4</v>
      </c>
      <c r="H226">
        <v>91.46</v>
      </c>
      <c r="I226" s="6" t="s">
        <v>2603</v>
      </c>
      <c r="J226" s="6" t="s">
        <v>3069</v>
      </c>
      <c r="K226" s="6" t="s">
        <v>3071</v>
      </c>
      <c r="L226" t="s">
        <v>3299</v>
      </c>
      <c r="M226">
        <v>9</v>
      </c>
      <c r="N226" t="s">
        <v>4275</v>
      </c>
      <c r="O226" t="s">
        <v>4279</v>
      </c>
      <c r="P226">
        <v>365.84</v>
      </c>
    </row>
    <row r="227" spans="1:16" x14ac:dyDescent="0.3">
      <c r="A227" t="s">
        <v>239</v>
      </c>
      <c r="B227" s="3">
        <v>45364</v>
      </c>
      <c r="C227" s="7" t="str">
        <f t="shared" si="6"/>
        <v>2024</v>
      </c>
      <c r="D227" s="7" t="str">
        <f t="shared" si="7"/>
        <v>Mar</v>
      </c>
      <c r="E227" s="6" t="s">
        <v>1439</v>
      </c>
      <c r="F227" s="5" t="s">
        <v>2404</v>
      </c>
      <c r="G227">
        <v>3</v>
      </c>
      <c r="H227">
        <v>273.95999999999998</v>
      </c>
      <c r="I227" s="6" t="s">
        <v>2604</v>
      </c>
      <c r="J227" s="6" t="s">
        <v>3065</v>
      </c>
      <c r="K227" s="6" t="s">
        <v>3072</v>
      </c>
      <c r="L227" t="s">
        <v>3300</v>
      </c>
      <c r="M227">
        <v>8</v>
      </c>
      <c r="N227" t="s">
        <v>4275</v>
      </c>
      <c r="O227" t="s">
        <v>4282</v>
      </c>
      <c r="P227">
        <v>821.87999999999988</v>
      </c>
    </row>
    <row r="228" spans="1:16" x14ac:dyDescent="0.3">
      <c r="A228" t="s">
        <v>240</v>
      </c>
      <c r="B228" s="3">
        <v>45835</v>
      </c>
      <c r="C228" s="7" t="str">
        <f t="shared" si="6"/>
        <v>2025</v>
      </c>
      <c r="D228" s="7" t="str">
        <f t="shared" si="7"/>
        <v>Jun</v>
      </c>
      <c r="E228" s="6" t="s">
        <v>1440</v>
      </c>
      <c r="F228" s="5" t="s">
        <v>2409</v>
      </c>
      <c r="G228">
        <v>3</v>
      </c>
      <c r="H228">
        <v>588.04999999999995</v>
      </c>
      <c r="I228" s="6" t="s">
        <v>2605</v>
      </c>
      <c r="J228" s="6" t="s">
        <v>3068</v>
      </c>
      <c r="K228" s="6" t="s">
        <v>3073</v>
      </c>
      <c r="L228" t="s">
        <v>3301</v>
      </c>
      <c r="M228">
        <v>8</v>
      </c>
      <c r="N228" t="s">
        <v>4285</v>
      </c>
      <c r="O228" t="s">
        <v>4278</v>
      </c>
      <c r="P228">
        <v>1764.15</v>
      </c>
    </row>
    <row r="229" spans="1:16" x14ac:dyDescent="0.3">
      <c r="A229" t="s">
        <v>241</v>
      </c>
      <c r="B229" s="3">
        <v>45232</v>
      </c>
      <c r="C229" s="7" t="str">
        <f t="shared" si="6"/>
        <v>2023</v>
      </c>
      <c r="D229" s="7" t="str">
        <f t="shared" si="7"/>
        <v>Nov</v>
      </c>
      <c r="E229" s="6" t="s">
        <v>1441</v>
      </c>
      <c r="F229" s="5" t="s">
        <v>2403</v>
      </c>
      <c r="G229">
        <v>2</v>
      </c>
      <c r="H229">
        <v>365.17</v>
      </c>
      <c r="I229" s="6" t="s">
        <v>2528</v>
      </c>
      <c r="J229" s="6" t="s">
        <v>3066</v>
      </c>
      <c r="K229" s="6" t="s">
        <v>3071</v>
      </c>
      <c r="L229" t="s">
        <v>3302</v>
      </c>
      <c r="M229">
        <v>4</v>
      </c>
      <c r="N229" t="s">
        <v>4276</v>
      </c>
      <c r="O229" t="s">
        <v>4281</v>
      </c>
      <c r="P229">
        <v>730.34</v>
      </c>
    </row>
    <row r="230" spans="1:16" x14ac:dyDescent="0.3">
      <c r="A230" t="s">
        <v>242</v>
      </c>
      <c r="B230" s="3">
        <v>45063</v>
      </c>
      <c r="C230" s="7" t="str">
        <f t="shared" si="6"/>
        <v>2023</v>
      </c>
      <c r="D230" s="7" t="str">
        <f t="shared" si="7"/>
        <v>May</v>
      </c>
      <c r="E230" s="6" t="s">
        <v>1442</v>
      </c>
      <c r="F230" s="5" t="s">
        <v>2406</v>
      </c>
      <c r="G230">
        <v>4</v>
      </c>
      <c r="H230">
        <v>385.92</v>
      </c>
      <c r="I230" s="6" t="s">
        <v>2606</v>
      </c>
      <c r="J230" s="6" t="s">
        <v>3067</v>
      </c>
      <c r="K230" s="6" t="s">
        <v>3071</v>
      </c>
      <c r="L230" t="s">
        <v>3303</v>
      </c>
      <c r="M230">
        <v>8</v>
      </c>
      <c r="N230" t="s">
        <v>4285</v>
      </c>
      <c r="O230" t="s">
        <v>4278</v>
      </c>
      <c r="P230">
        <v>1543.68</v>
      </c>
    </row>
    <row r="231" spans="1:16" x14ac:dyDescent="0.3">
      <c r="A231" t="s">
        <v>243</v>
      </c>
      <c r="B231" s="3">
        <v>45744</v>
      </c>
      <c r="C231" s="7" t="str">
        <f t="shared" si="6"/>
        <v>2025</v>
      </c>
      <c r="D231" s="7" t="str">
        <f t="shared" si="7"/>
        <v>Mar</v>
      </c>
      <c r="E231" s="6" t="s">
        <v>1443</v>
      </c>
      <c r="F231" s="5" t="s">
        <v>2405</v>
      </c>
      <c r="G231">
        <v>1</v>
      </c>
      <c r="H231">
        <v>562.61</v>
      </c>
      <c r="I231" s="6" t="s">
        <v>2607</v>
      </c>
      <c r="J231" s="6" t="s">
        <v>3067</v>
      </c>
      <c r="K231" s="6" t="s">
        <v>3073</v>
      </c>
      <c r="L231" t="s">
        <v>3304</v>
      </c>
      <c r="M231">
        <v>3</v>
      </c>
      <c r="N231" t="s">
        <v>4277</v>
      </c>
      <c r="O231" t="s">
        <v>4281</v>
      </c>
      <c r="P231">
        <v>562.61</v>
      </c>
    </row>
    <row r="232" spans="1:16" x14ac:dyDescent="0.3">
      <c r="A232" t="s">
        <v>244</v>
      </c>
      <c r="B232" s="3">
        <v>45276</v>
      </c>
      <c r="C232" s="7" t="str">
        <f t="shared" si="6"/>
        <v>2023</v>
      </c>
      <c r="D232" s="7" t="str">
        <f t="shared" si="7"/>
        <v>Dec</v>
      </c>
      <c r="E232" s="6" t="s">
        <v>1444</v>
      </c>
      <c r="F232" s="5" t="s">
        <v>2409</v>
      </c>
      <c r="G232">
        <v>4</v>
      </c>
      <c r="H232">
        <v>61.91</v>
      </c>
      <c r="I232" s="6" t="s">
        <v>2608</v>
      </c>
      <c r="J232" s="6" t="s">
        <v>3068</v>
      </c>
      <c r="K232" s="6" t="s">
        <v>3073</v>
      </c>
      <c r="L232" t="s">
        <v>3305</v>
      </c>
      <c r="M232">
        <v>6</v>
      </c>
      <c r="N232" t="s">
        <v>4277</v>
      </c>
      <c r="O232" t="s">
        <v>4280</v>
      </c>
      <c r="P232">
        <v>247.64</v>
      </c>
    </row>
    <row r="233" spans="1:16" x14ac:dyDescent="0.3">
      <c r="A233" t="s">
        <v>245</v>
      </c>
      <c r="B233" s="3">
        <v>45235</v>
      </c>
      <c r="C233" s="7" t="str">
        <f t="shared" si="6"/>
        <v>2023</v>
      </c>
      <c r="D233" s="7" t="str">
        <f t="shared" si="7"/>
        <v>Nov</v>
      </c>
      <c r="E233" s="6" t="s">
        <v>1445</v>
      </c>
      <c r="F233" s="5" t="s">
        <v>2404</v>
      </c>
      <c r="G233">
        <v>4</v>
      </c>
      <c r="H233">
        <v>41.9</v>
      </c>
      <c r="I233" s="6" t="s">
        <v>2609</v>
      </c>
      <c r="J233" s="6" t="s">
        <v>3068</v>
      </c>
      <c r="K233" s="6" t="s">
        <v>3074</v>
      </c>
      <c r="L233" t="s">
        <v>3306</v>
      </c>
      <c r="M233">
        <v>9</v>
      </c>
      <c r="N233" t="s">
        <v>4276</v>
      </c>
      <c r="O233" t="s">
        <v>4278</v>
      </c>
      <c r="P233">
        <v>167.6</v>
      </c>
    </row>
    <row r="234" spans="1:16" x14ac:dyDescent="0.3">
      <c r="A234" t="s">
        <v>246</v>
      </c>
      <c r="B234" s="3">
        <v>45065</v>
      </c>
      <c r="C234" s="7" t="str">
        <f t="shared" si="6"/>
        <v>2023</v>
      </c>
      <c r="D234" s="7" t="str">
        <f t="shared" si="7"/>
        <v>May</v>
      </c>
      <c r="E234" s="6" t="s">
        <v>1446</v>
      </c>
      <c r="F234" s="5" t="s">
        <v>2407</v>
      </c>
      <c r="G234">
        <v>4</v>
      </c>
      <c r="H234">
        <v>444.44</v>
      </c>
      <c r="I234" s="6" t="s">
        <v>2610</v>
      </c>
      <c r="J234" s="6" t="s">
        <v>3065</v>
      </c>
      <c r="K234" s="6" t="s">
        <v>3071</v>
      </c>
      <c r="L234" t="s">
        <v>3307</v>
      </c>
      <c r="M234">
        <v>8</v>
      </c>
      <c r="N234" t="s">
        <v>4277</v>
      </c>
      <c r="O234" t="s">
        <v>4282</v>
      </c>
      <c r="P234">
        <v>1777.76</v>
      </c>
    </row>
    <row r="235" spans="1:16" x14ac:dyDescent="0.3">
      <c r="A235" t="s">
        <v>247</v>
      </c>
      <c r="B235" s="3">
        <v>45528</v>
      </c>
      <c r="C235" s="7" t="str">
        <f t="shared" si="6"/>
        <v>2024</v>
      </c>
      <c r="D235" s="7" t="str">
        <f t="shared" si="7"/>
        <v>Aug</v>
      </c>
      <c r="E235" s="6" t="s">
        <v>1447</v>
      </c>
      <c r="F235" s="5" t="s">
        <v>2404</v>
      </c>
      <c r="G235">
        <v>3</v>
      </c>
      <c r="H235">
        <v>311.33</v>
      </c>
      <c r="I235" s="6" t="s">
        <v>2482</v>
      </c>
      <c r="J235" s="6" t="s">
        <v>3069</v>
      </c>
      <c r="K235" s="6" t="s">
        <v>3071</v>
      </c>
      <c r="L235" t="s">
        <v>3308</v>
      </c>
      <c r="M235">
        <v>3</v>
      </c>
      <c r="N235" t="s">
        <v>4277</v>
      </c>
      <c r="O235" t="s">
        <v>4278</v>
      </c>
      <c r="P235">
        <v>933.99</v>
      </c>
    </row>
    <row r="236" spans="1:16" x14ac:dyDescent="0.3">
      <c r="A236" t="s">
        <v>248</v>
      </c>
      <c r="B236" s="3">
        <v>45622</v>
      </c>
      <c r="C236" s="7" t="str">
        <f t="shared" si="6"/>
        <v>2024</v>
      </c>
      <c r="D236" s="7" t="str">
        <f t="shared" si="7"/>
        <v>Nov</v>
      </c>
      <c r="E236" s="6" t="s">
        <v>1448</v>
      </c>
      <c r="F236" s="5" t="s">
        <v>2407</v>
      </c>
      <c r="G236">
        <v>4</v>
      </c>
      <c r="H236">
        <v>236.41</v>
      </c>
      <c r="I236" s="6" t="s">
        <v>2611</v>
      </c>
      <c r="J236" s="6" t="s">
        <v>3065</v>
      </c>
      <c r="K236" s="6" t="s">
        <v>3074</v>
      </c>
      <c r="L236" t="s">
        <v>3309</v>
      </c>
      <c r="M236">
        <v>7</v>
      </c>
      <c r="N236" t="s">
        <v>4275</v>
      </c>
      <c r="O236" t="s">
        <v>4282</v>
      </c>
      <c r="P236">
        <v>945.64</v>
      </c>
    </row>
    <row r="237" spans="1:16" x14ac:dyDescent="0.3">
      <c r="A237" t="s">
        <v>249</v>
      </c>
      <c r="B237" s="3">
        <v>44977</v>
      </c>
      <c r="C237" s="7" t="str">
        <f t="shared" si="6"/>
        <v>2023</v>
      </c>
      <c r="D237" s="7" t="str">
        <f t="shared" si="7"/>
        <v>Feb</v>
      </c>
      <c r="E237" s="6" t="s">
        <v>1449</v>
      </c>
      <c r="F237" s="5" t="s">
        <v>2409</v>
      </c>
      <c r="G237">
        <v>1</v>
      </c>
      <c r="H237">
        <v>65.45</v>
      </c>
      <c r="I237" s="6" t="s">
        <v>2612</v>
      </c>
      <c r="J237" s="6" t="s">
        <v>3069</v>
      </c>
      <c r="K237" s="6" t="s">
        <v>3074</v>
      </c>
      <c r="L237" t="s">
        <v>3310</v>
      </c>
      <c r="M237">
        <v>2</v>
      </c>
      <c r="N237" t="s">
        <v>4277</v>
      </c>
      <c r="O237" t="s">
        <v>4282</v>
      </c>
      <c r="P237">
        <v>65.45</v>
      </c>
    </row>
    <row r="238" spans="1:16" x14ac:dyDescent="0.3">
      <c r="A238" t="s">
        <v>250</v>
      </c>
      <c r="B238" s="3">
        <v>44927</v>
      </c>
      <c r="C238" s="7" t="str">
        <f t="shared" si="6"/>
        <v>2023</v>
      </c>
      <c r="D238" s="7" t="str">
        <f t="shared" si="7"/>
        <v>Jan</v>
      </c>
      <c r="E238" s="6" t="s">
        <v>1450</v>
      </c>
      <c r="F238" s="5" t="s">
        <v>2403</v>
      </c>
      <c r="G238">
        <v>1</v>
      </c>
      <c r="H238">
        <v>318.81</v>
      </c>
      <c r="I238" s="6" t="s">
        <v>2613</v>
      </c>
      <c r="J238" s="6" t="s">
        <v>3065</v>
      </c>
      <c r="K238" s="6" t="s">
        <v>3074</v>
      </c>
      <c r="L238" t="s">
        <v>3311</v>
      </c>
      <c r="M238">
        <v>3</v>
      </c>
      <c r="N238" t="s">
        <v>4277</v>
      </c>
      <c r="O238" t="s">
        <v>4280</v>
      </c>
      <c r="P238">
        <v>318.81</v>
      </c>
    </row>
    <row r="239" spans="1:16" x14ac:dyDescent="0.3">
      <c r="A239" t="s">
        <v>251</v>
      </c>
      <c r="B239" s="3">
        <v>45365</v>
      </c>
      <c r="C239" s="7" t="str">
        <f t="shared" si="6"/>
        <v>2024</v>
      </c>
      <c r="D239" s="7" t="str">
        <f t="shared" si="7"/>
        <v>Mar</v>
      </c>
      <c r="E239" s="6" t="s">
        <v>1451</v>
      </c>
      <c r="F239" s="5" t="s">
        <v>2403</v>
      </c>
      <c r="G239">
        <v>3</v>
      </c>
      <c r="H239">
        <v>583.72</v>
      </c>
      <c r="I239" s="6" t="s">
        <v>2614</v>
      </c>
      <c r="J239" s="6" t="s">
        <v>3067</v>
      </c>
      <c r="K239" s="6" t="s">
        <v>3070</v>
      </c>
      <c r="L239" t="s">
        <v>3312</v>
      </c>
      <c r="M239">
        <v>5</v>
      </c>
      <c r="N239" t="s">
        <v>4276</v>
      </c>
      <c r="O239" t="s">
        <v>4281</v>
      </c>
      <c r="P239">
        <v>1751.16</v>
      </c>
    </row>
    <row r="240" spans="1:16" x14ac:dyDescent="0.3">
      <c r="A240" t="s">
        <v>252</v>
      </c>
      <c r="B240" s="3">
        <v>45639</v>
      </c>
      <c r="C240" s="7" t="str">
        <f t="shared" si="6"/>
        <v>2024</v>
      </c>
      <c r="D240" s="7" t="str">
        <f t="shared" si="7"/>
        <v>Dec</v>
      </c>
      <c r="E240" s="6" t="s">
        <v>1452</v>
      </c>
      <c r="F240" s="5" t="s">
        <v>2409</v>
      </c>
      <c r="G240">
        <v>4</v>
      </c>
      <c r="H240">
        <v>384.32</v>
      </c>
      <c r="I240" s="6" t="s">
        <v>2615</v>
      </c>
      <c r="J240" s="6" t="s">
        <v>3067</v>
      </c>
      <c r="K240" s="6" t="s">
        <v>3074</v>
      </c>
      <c r="L240" t="s">
        <v>3313</v>
      </c>
      <c r="M240">
        <v>6</v>
      </c>
      <c r="N240" t="s">
        <v>4277</v>
      </c>
      <c r="O240" t="s">
        <v>4282</v>
      </c>
      <c r="P240">
        <v>1537.28</v>
      </c>
    </row>
    <row r="241" spans="1:16" x14ac:dyDescent="0.3">
      <c r="A241" t="s">
        <v>253</v>
      </c>
      <c r="B241" s="3">
        <v>45637</v>
      </c>
      <c r="C241" s="7" t="str">
        <f t="shared" si="6"/>
        <v>2024</v>
      </c>
      <c r="D241" s="7" t="str">
        <f t="shared" si="7"/>
        <v>Dec</v>
      </c>
      <c r="E241" s="6" t="s">
        <v>1453</v>
      </c>
      <c r="F241" s="5" t="s">
        <v>2405</v>
      </c>
      <c r="G241">
        <v>3</v>
      </c>
      <c r="H241">
        <v>538.74</v>
      </c>
      <c r="I241" s="6" t="s">
        <v>2616</v>
      </c>
      <c r="J241" s="6" t="s">
        <v>3066</v>
      </c>
      <c r="K241" s="6" t="s">
        <v>3070</v>
      </c>
      <c r="L241" t="s">
        <v>3314</v>
      </c>
      <c r="M241">
        <v>6</v>
      </c>
      <c r="N241" t="s">
        <v>4276</v>
      </c>
      <c r="O241" t="s">
        <v>4280</v>
      </c>
      <c r="P241">
        <v>1616.22</v>
      </c>
    </row>
    <row r="242" spans="1:16" x14ac:dyDescent="0.3">
      <c r="A242" t="s">
        <v>254</v>
      </c>
      <c r="B242" s="3">
        <v>45119</v>
      </c>
      <c r="C242" s="7" t="str">
        <f t="shared" si="6"/>
        <v>2023</v>
      </c>
      <c r="D242" s="7" t="str">
        <f t="shared" si="7"/>
        <v>Jul</v>
      </c>
      <c r="E242" s="6" t="s">
        <v>1454</v>
      </c>
      <c r="F242" s="5" t="s">
        <v>2405</v>
      </c>
      <c r="G242">
        <v>1</v>
      </c>
      <c r="H242">
        <v>17.239999999999998</v>
      </c>
      <c r="I242" s="6" t="s">
        <v>2617</v>
      </c>
      <c r="J242" s="6" t="s">
        <v>3066</v>
      </c>
      <c r="K242" s="6" t="s">
        <v>3074</v>
      </c>
      <c r="L242" t="s">
        <v>3315</v>
      </c>
      <c r="M242">
        <v>2</v>
      </c>
      <c r="N242" t="s">
        <v>4276</v>
      </c>
      <c r="O242" t="s">
        <v>4278</v>
      </c>
      <c r="P242">
        <v>17.239999999999998</v>
      </c>
    </row>
    <row r="243" spans="1:16" x14ac:dyDescent="0.3">
      <c r="A243" t="s">
        <v>255</v>
      </c>
      <c r="B243" s="3">
        <v>45062</v>
      </c>
      <c r="C243" s="7" t="str">
        <f t="shared" si="6"/>
        <v>2023</v>
      </c>
      <c r="D243" s="7" t="str">
        <f t="shared" si="7"/>
        <v>May</v>
      </c>
      <c r="E243" s="6" t="s">
        <v>1455</v>
      </c>
      <c r="F243" s="5" t="s">
        <v>2406</v>
      </c>
      <c r="G243">
        <v>5</v>
      </c>
      <c r="H243">
        <v>615.66999999999996</v>
      </c>
      <c r="I243" s="6" t="s">
        <v>2618</v>
      </c>
      <c r="J243" s="6" t="s">
        <v>3066</v>
      </c>
      <c r="K243" s="6" t="s">
        <v>3074</v>
      </c>
      <c r="L243" t="s">
        <v>3316</v>
      </c>
      <c r="M243">
        <v>6</v>
      </c>
      <c r="N243" t="s">
        <v>4275</v>
      </c>
      <c r="O243" t="s">
        <v>4280</v>
      </c>
      <c r="P243">
        <v>3078.35</v>
      </c>
    </row>
    <row r="244" spans="1:16" x14ac:dyDescent="0.3">
      <c r="A244" t="s">
        <v>256</v>
      </c>
      <c r="B244" s="3">
        <v>45055</v>
      </c>
      <c r="C244" s="7" t="str">
        <f t="shared" si="6"/>
        <v>2023</v>
      </c>
      <c r="D244" s="7" t="str">
        <f t="shared" si="7"/>
        <v>May</v>
      </c>
      <c r="E244" s="6" t="s">
        <v>1456</v>
      </c>
      <c r="F244" s="5" t="s">
        <v>2407</v>
      </c>
      <c r="G244">
        <v>2</v>
      </c>
      <c r="H244">
        <v>219.1</v>
      </c>
      <c r="I244" s="6" t="s">
        <v>2619</v>
      </c>
      <c r="J244" s="6" t="s">
        <v>3066</v>
      </c>
      <c r="K244" s="6" t="s">
        <v>3074</v>
      </c>
      <c r="L244" t="s">
        <v>3317</v>
      </c>
      <c r="M244">
        <v>4</v>
      </c>
      <c r="N244" t="s">
        <v>4275</v>
      </c>
      <c r="O244" t="s">
        <v>4279</v>
      </c>
      <c r="P244">
        <v>438.2</v>
      </c>
    </row>
    <row r="245" spans="1:16" x14ac:dyDescent="0.3">
      <c r="A245" t="s">
        <v>257</v>
      </c>
      <c r="B245" s="3">
        <v>45786</v>
      </c>
      <c r="C245" s="7" t="str">
        <f t="shared" si="6"/>
        <v>2025</v>
      </c>
      <c r="D245" s="7" t="str">
        <f t="shared" si="7"/>
        <v>May</v>
      </c>
      <c r="E245" s="6" t="s">
        <v>1457</v>
      </c>
      <c r="F245" s="5" t="s">
        <v>2406</v>
      </c>
      <c r="G245">
        <v>2</v>
      </c>
      <c r="H245">
        <v>144.66</v>
      </c>
      <c r="I245" s="6" t="s">
        <v>2620</v>
      </c>
      <c r="J245" s="6" t="s">
        <v>3066</v>
      </c>
      <c r="K245" s="6" t="s">
        <v>3071</v>
      </c>
      <c r="L245" t="s">
        <v>3318</v>
      </c>
      <c r="M245">
        <v>7</v>
      </c>
      <c r="N245" t="s">
        <v>4276</v>
      </c>
      <c r="O245" t="s">
        <v>4282</v>
      </c>
      <c r="P245">
        <v>289.32</v>
      </c>
    </row>
    <row r="246" spans="1:16" x14ac:dyDescent="0.3">
      <c r="A246" t="s">
        <v>258</v>
      </c>
      <c r="B246" s="3">
        <v>44973</v>
      </c>
      <c r="C246" s="7" t="str">
        <f t="shared" si="6"/>
        <v>2023</v>
      </c>
      <c r="D246" s="7" t="str">
        <f t="shared" si="7"/>
        <v>Feb</v>
      </c>
      <c r="E246" s="6" t="s">
        <v>1458</v>
      </c>
      <c r="F246" s="5" t="s">
        <v>2409</v>
      </c>
      <c r="G246">
        <v>2</v>
      </c>
      <c r="H246">
        <v>317.77</v>
      </c>
      <c r="I246" s="6" t="s">
        <v>2621</v>
      </c>
      <c r="J246" s="6" t="s">
        <v>3065</v>
      </c>
      <c r="K246" s="6" t="s">
        <v>3071</v>
      </c>
      <c r="L246" t="s">
        <v>3319</v>
      </c>
      <c r="M246">
        <v>4</v>
      </c>
      <c r="N246" t="s">
        <v>4277</v>
      </c>
      <c r="O246" t="s">
        <v>4281</v>
      </c>
      <c r="P246">
        <v>635.54</v>
      </c>
    </row>
    <row r="247" spans="1:16" x14ac:dyDescent="0.3">
      <c r="A247" t="s">
        <v>259</v>
      </c>
      <c r="B247" s="3">
        <v>45767</v>
      </c>
      <c r="C247" s="7" t="str">
        <f t="shared" si="6"/>
        <v>2025</v>
      </c>
      <c r="D247" s="7" t="str">
        <f t="shared" si="7"/>
        <v>Apr</v>
      </c>
      <c r="E247" s="6" t="s">
        <v>1459</v>
      </c>
      <c r="F247" s="5" t="s">
        <v>2408</v>
      </c>
      <c r="G247">
        <v>1</v>
      </c>
      <c r="H247">
        <v>223.3</v>
      </c>
      <c r="I247" s="6" t="s">
        <v>2622</v>
      </c>
      <c r="J247" s="6" t="s">
        <v>3066</v>
      </c>
      <c r="K247" s="6" t="s">
        <v>3072</v>
      </c>
      <c r="L247" t="s">
        <v>3320</v>
      </c>
      <c r="M247">
        <v>1</v>
      </c>
      <c r="N247" t="s">
        <v>4285</v>
      </c>
      <c r="O247" t="s">
        <v>4281</v>
      </c>
      <c r="P247">
        <v>223.3</v>
      </c>
    </row>
    <row r="248" spans="1:16" x14ac:dyDescent="0.3">
      <c r="A248" t="s">
        <v>260</v>
      </c>
      <c r="B248" s="3">
        <v>45534</v>
      </c>
      <c r="C248" s="7" t="str">
        <f t="shared" si="6"/>
        <v>2024</v>
      </c>
      <c r="D248" s="7" t="str">
        <f t="shared" si="7"/>
        <v>Aug</v>
      </c>
      <c r="E248" s="6" t="s">
        <v>1460</v>
      </c>
      <c r="F248" s="5" t="s">
        <v>2409</v>
      </c>
      <c r="G248">
        <v>2</v>
      </c>
      <c r="H248">
        <v>342.11</v>
      </c>
      <c r="I248" s="6" t="s">
        <v>2623</v>
      </c>
      <c r="J248" s="6" t="s">
        <v>3068</v>
      </c>
      <c r="K248" s="6" t="s">
        <v>3070</v>
      </c>
      <c r="L248" t="s">
        <v>3321</v>
      </c>
      <c r="M248">
        <v>2</v>
      </c>
      <c r="N248" t="s">
        <v>4277</v>
      </c>
      <c r="O248" t="s">
        <v>4278</v>
      </c>
      <c r="P248">
        <v>684.22</v>
      </c>
    </row>
    <row r="249" spans="1:16" x14ac:dyDescent="0.3">
      <c r="A249" t="s">
        <v>261</v>
      </c>
      <c r="B249" s="3">
        <v>45127</v>
      </c>
      <c r="C249" s="7" t="str">
        <f t="shared" si="6"/>
        <v>2023</v>
      </c>
      <c r="D249" s="7" t="str">
        <f t="shared" si="7"/>
        <v>Jul</v>
      </c>
      <c r="E249" s="6" t="s">
        <v>1461</v>
      </c>
      <c r="F249" s="5" t="s">
        <v>2407</v>
      </c>
      <c r="G249">
        <v>2</v>
      </c>
      <c r="H249">
        <v>220.9</v>
      </c>
      <c r="I249" s="6" t="s">
        <v>2624</v>
      </c>
      <c r="J249" s="6" t="s">
        <v>3068</v>
      </c>
      <c r="K249" s="6" t="s">
        <v>3070</v>
      </c>
      <c r="L249" t="s">
        <v>3322</v>
      </c>
      <c r="M249">
        <v>4</v>
      </c>
      <c r="N249" t="s">
        <v>4285</v>
      </c>
      <c r="O249" t="s">
        <v>4280</v>
      </c>
      <c r="P249">
        <v>441.8</v>
      </c>
    </row>
    <row r="250" spans="1:16" x14ac:dyDescent="0.3">
      <c r="A250" t="s">
        <v>262</v>
      </c>
      <c r="B250" s="3">
        <v>45109</v>
      </c>
      <c r="C250" s="7" t="str">
        <f t="shared" si="6"/>
        <v>2023</v>
      </c>
      <c r="D250" s="7" t="str">
        <f t="shared" si="7"/>
        <v>Jul</v>
      </c>
      <c r="E250" s="6" t="s">
        <v>1462</v>
      </c>
      <c r="F250" s="5" t="s">
        <v>2408</v>
      </c>
      <c r="G250">
        <v>1</v>
      </c>
      <c r="H250">
        <v>670.54</v>
      </c>
      <c r="I250" s="6" t="s">
        <v>2625</v>
      </c>
      <c r="J250" s="6" t="s">
        <v>3069</v>
      </c>
      <c r="K250" s="6" t="s">
        <v>3070</v>
      </c>
      <c r="L250" t="s">
        <v>3323</v>
      </c>
      <c r="M250">
        <v>6</v>
      </c>
      <c r="N250" t="s">
        <v>4276</v>
      </c>
      <c r="O250" t="s">
        <v>4279</v>
      </c>
      <c r="P250">
        <v>670.54</v>
      </c>
    </row>
    <row r="251" spans="1:16" x14ac:dyDescent="0.3">
      <c r="A251" t="s">
        <v>263</v>
      </c>
      <c r="B251" s="3">
        <v>45329</v>
      </c>
      <c r="C251" s="7" t="str">
        <f t="shared" si="6"/>
        <v>2024</v>
      </c>
      <c r="D251" s="7" t="str">
        <f t="shared" si="7"/>
        <v>Feb</v>
      </c>
      <c r="E251" s="6" t="s">
        <v>1463</v>
      </c>
      <c r="F251" s="5" t="s">
        <v>2407</v>
      </c>
      <c r="G251">
        <v>1</v>
      </c>
      <c r="H251">
        <v>546.19000000000005</v>
      </c>
      <c r="I251" s="6" t="s">
        <v>2626</v>
      </c>
      <c r="J251" s="6" t="s">
        <v>3069</v>
      </c>
      <c r="K251" s="6" t="s">
        <v>3074</v>
      </c>
      <c r="L251" t="s">
        <v>3324</v>
      </c>
      <c r="M251">
        <v>5</v>
      </c>
      <c r="N251" t="s">
        <v>4276</v>
      </c>
      <c r="O251" t="s">
        <v>4279</v>
      </c>
      <c r="P251">
        <v>546.19000000000005</v>
      </c>
    </row>
    <row r="252" spans="1:16" x14ac:dyDescent="0.3">
      <c r="A252" t="s">
        <v>264</v>
      </c>
      <c r="B252" s="3">
        <v>45021</v>
      </c>
      <c r="C252" s="7" t="str">
        <f t="shared" si="6"/>
        <v>2023</v>
      </c>
      <c r="D252" s="7" t="str">
        <f t="shared" si="7"/>
        <v>Apr</v>
      </c>
      <c r="E252" s="6" t="s">
        <v>1464</v>
      </c>
      <c r="F252" s="5" t="s">
        <v>2409</v>
      </c>
      <c r="G252">
        <v>3</v>
      </c>
      <c r="H252">
        <v>42.95</v>
      </c>
      <c r="I252" s="6" t="s">
        <v>2492</v>
      </c>
      <c r="J252" s="6" t="s">
        <v>3068</v>
      </c>
      <c r="K252" s="6" t="s">
        <v>3072</v>
      </c>
      <c r="L252" t="s">
        <v>3325</v>
      </c>
      <c r="M252">
        <v>8</v>
      </c>
      <c r="N252" t="s">
        <v>4275</v>
      </c>
      <c r="O252" t="s">
        <v>4280</v>
      </c>
      <c r="P252">
        <v>128.85</v>
      </c>
    </row>
    <row r="253" spans="1:16" x14ac:dyDescent="0.3">
      <c r="A253" t="s">
        <v>265</v>
      </c>
      <c r="B253" s="3">
        <v>45792</v>
      </c>
      <c r="C253" s="7" t="str">
        <f t="shared" si="6"/>
        <v>2025</v>
      </c>
      <c r="D253" s="7" t="str">
        <f t="shared" si="7"/>
        <v>May</v>
      </c>
      <c r="E253" s="6" t="s">
        <v>1465</v>
      </c>
      <c r="F253" s="5" t="s">
        <v>2403</v>
      </c>
      <c r="G253">
        <v>4</v>
      </c>
      <c r="H253">
        <v>14.69</v>
      </c>
      <c r="I253" s="6" t="s">
        <v>2627</v>
      </c>
      <c r="J253" s="6" t="s">
        <v>3069</v>
      </c>
      <c r="K253" s="6" t="s">
        <v>3071</v>
      </c>
      <c r="L253" t="s">
        <v>3326</v>
      </c>
      <c r="M253">
        <v>9</v>
      </c>
      <c r="N253" t="s">
        <v>4285</v>
      </c>
      <c r="O253" t="s">
        <v>4280</v>
      </c>
      <c r="P253">
        <v>58.76</v>
      </c>
    </row>
    <row r="254" spans="1:16" x14ac:dyDescent="0.3">
      <c r="A254" t="s">
        <v>266</v>
      </c>
      <c r="B254" s="3">
        <v>45555</v>
      </c>
      <c r="C254" s="7" t="str">
        <f t="shared" si="6"/>
        <v>2024</v>
      </c>
      <c r="D254" s="7" t="str">
        <f t="shared" si="7"/>
        <v>Sept</v>
      </c>
      <c r="E254" s="6" t="s">
        <v>1466</v>
      </c>
      <c r="F254" s="5" t="s">
        <v>2404</v>
      </c>
      <c r="G254">
        <v>4</v>
      </c>
      <c r="H254">
        <v>668.36</v>
      </c>
      <c r="I254" s="6" t="s">
        <v>2628</v>
      </c>
      <c r="J254" s="6" t="s">
        <v>3068</v>
      </c>
      <c r="K254" s="6" t="s">
        <v>3071</v>
      </c>
      <c r="L254" t="s">
        <v>3327</v>
      </c>
      <c r="M254">
        <v>5</v>
      </c>
      <c r="N254" t="s">
        <v>4276</v>
      </c>
      <c r="O254" t="s">
        <v>4281</v>
      </c>
      <c r="P254">
        <v>2673.44</v>
      </c>
    </row>
    <row r="255" spans="1:16" x14ac:dyDescent="0.3">
      <c r="A255" t="s">
        <v>267</v>
      </c>
      <c r="B255" s="3">
        <v>45374</v>
      </c>
      <c r="C255" s="7" t="str">
        <f t="shared" si="6"/>
        <v>2024</v>
      </c>
      <c r="D255" s="7" t="str">
        <f t="shared" si="7"/>
        <v>Mar</v>
      </c>
      <c r="E255" s="6" t="s">
        <v>1467</v>
      </c>
      <c r="F255" s="5" t="s">
        <v>2406</v>
      </c>
      <c r="G255">
        <v>4</v>
      </c>
      <c r="H255">
        <v>413.74</v>
      </c>
      <c r="I255" s="6" t="s">
        <v>2503</v>
      </c>
      <c r="J255" s="6" t="s">
        <v>3068</v>
      </c>
      <c r="K255" s="6" t="s">
        <v>3072</v>
      </c>
      <c r="L255" t="s">
        <v>3328</v>
      </c>
      <c r="M255">
        <v>7</v>
      </c>
      <c r="N255" t="s">
        <v>4276</v>
      </c>
      <c r="O255" t="s">
        <v>4278</v>
      </c>
      <c r="P255">
        <v>1654.96</v>
      </c>
    </row>
    <row r="256" spans="1:16" x14ac:dyDescent="0.3">
      <c r="A256" t="s">
        <v>268</v>
      </c>
      <c r="B256" s="3">
        <v>45286</v>
      </c>
      <c r="C256" s="7" t="str">
        <f t="shared" si="6"/>
        <v>2023</v>
      </c>
      <c r="D256" s="7" t="str">
        <f t="shared" si="7"/>
        <v>Dec</v>
      </c>
      <c r="E256" s="6" t="s">
        <v>1468</v>
      </c>
      <c r="F256" s="5" t="s">
        <v>2403</v>
      </c>
      <c r="G256">
        <v>3</v>
      </c>
      <c r="H256">
        <v>263.19</v>
      </c>
      <c r="I256" s="6" t="s">
        <v>2615</v>
      </c>
      <c r="J256" s="6" t="s">
        <v>3066</v>
      </c>
      <c r="K256" s="6" t="s">
        <v>3073</v>
      </c>
      <c r="L256" t="s">
        <v>3329</v>
      </c>
      <c r="M256">
        <v>5</v>
      </c>
      <c r="N256" t="s">
        <v>4285</v>
      </c>
      <c r="O256" t="s">
        <v>4278</v>
      </c>
      <c r="P256">
        <v>789.56999999999994</v>
      </c>
    </row>
    <row r="257" spans="1:16" x14ac:dyDescent="0.3">
      <c r="A257" t="s">
        <v>269</v>
      </c>
      <c r="B257" s="3">
        <v>45425</v>
      </c>
      <c r="C257" s="7" t="str">
        <f t="shared" si="6"/>
        <v>2024</v>
      </c>
      <c r="D257" s="7" t="str">
        <f t="shared" si="7"/>
        <v>May</v>
      </c>
      <c r="E257" s="6" t="s">
        <v>1469</v>
      </c>
      <c r="F257" s="5" t="s">
        <v>2403</v>
      </c>
      <c r="G257">
        <v>1</v>
      </c>
      <c r="H257">
        <v>263.95999999999998</v>
      </c>
      <c r="I257" s="6" t="s">
        <v>2565</v>
      </c>
      <c r="J257" s="6" t="s">
        <v>3068</v>
      </c>
      <c r="K257" s="6" t="s">
        <v>3072</v>
      </c>
      <c r="L257" t="s">
        <v>3330</v>
      </c>
      <c r="M257">
        <v>2</v>
      </c>
      <c r="N257" t="s">
        <v>4275</v>
      </c>
      <c r="O257" t="s">
        <v>4282</v>
      </c>
      <c r="P257">
        <v>263.95999999999998</v>
      </c>
    </row>
    <row r="258" spans="1:16" x14ac:dyDescent="0.3">
      <c r="A258" t="s">
        <v>270</v>
      </c>
      <c r="B258" s="3">
        <v>45838</v>
      </c>
      <c r="C258" s="7" t="str">
        <f t="shared" ref="C258:C321" si="8">TEXT(B258, "yyyy")</f>
        <v>2025</v>
      </c>
      <c r="D258" s="7" t="str">
        <f t="shared" ref="D258:D321" si="9">TEXT(B258, "MMM")</f>
        <v>Jun</v>
      </c>
      <c r="E258" s="6" t="s">
        <v>1470</v>
      </c>
      <c r="F258" s="5" t="s">
        <v>2406</v>
      </c>
      <c r="G258">
        <v>5</v>
      </c>
      <c r="H258">
        <v>75.81</v>
      </c>
      <c r="I258" s="6" t="s">
        <v>2629</v>
      </c>
      <c r="J258" s="6" t="s">
        <v>3068</v>
      </c>
      <c r="K258" s="6" t="s">
        <v>3072</v>
      </c>
      <c r="L258" t="s">
        <v>3331</v>
      </c>
      <c r="M258">
        <v>10</v>
      </c>
      <c r="N258" t="s">
        <v>4277</v>
      </c>
      <c r="O258" t="s">
        <v>4278</v>
      </c>
      <c r="P258">
        <v>379.05</v>
      </c>
    </row>
    <row r="259" spans="1:16" x14ac:dyDescent="0.3">
      <c r="A259" t="s">
        <v>271</v>
      </c>
      <c r="B259" s="3">
        <v>45405</v>
      </c>
      <c r="C259" s="7" t="str">
        <f t="shared" si="8"/>
        <v>2024</v>
      </c>
      <c r="D259" s="7" t="str">
        <f t="shared" si="9"/>
        <v>Apr</v>
      </c>
      <c r="E259" s="6" t="s">
        <v>1471</v>
      </c>
      <c r="F259" s="5" t="s">
        <v>2404</v>
      </c>
      <c r="G259">
        <v>1</v>
      </c>
      <c r="H259">
        <v>406.22</v>
      </c>
      <c r="I259" s="6" t="s">
        <v>2630</v>
      </c>
      <c r="J259" s="6" t="s">
        <v>3067</v>
      </c>
      <c r="K259" s="6" t="s">
        <v>3071</v>
      </c>
      <c r="L259" t="s">
        <v>3332</v>
      </c>
      <c r="M259">
        <v>5</v>
      </c>
      <c r="N259" t="s">
        <v>4275</v>
      </c>
      <c r="O259" t="s">
        <v>4279</v>
      </c>
      <c r="P259">
        <v>406.22</v>
      </c>
    </row>
    <row r="260" spans="1:16" x14ac:dyDescent="0.3">
      <c r="A260" t="s">
        <v>272</v>
      </c>
      <c r="B260" s="3">
        <v>45348</v>
      </c>
      <c r="C260" s="7" t="str">
        <f t="shared" si="8"/>
        <v>2024</v>
      </c>
      <c r="D260" s="7" t="str">
        <f t="shared" si="9"/>
        <v>Feb</v>
      </c>
      <c r="E260" s="6" t="s">
        <v>1472</v>
      </c>
      <c r="F260" s="5" t="s">
        <v>2405</v>
      </c>
      <c r="G260">
        <v>2</v>
      </c>
      <c r="H260">
        <v>103.41</v>
      </c>
      <c r="I260" s="6" t="s">
        <v>2631</v>
      </c>
      <c r="J260" s="6" t="s">
        <v>3066</v>
      </c>
      <c r="K260" s="6" t="s">
        <v>3070</v>
      </c>
      <c r="L260" t="s">
        <v>3333</v>
      </c>
      <c r="M260">
        <v>2</v>
      </c>
      <c r="N260" t="s">
        <v>4276</v>
      </c>
      <c r="O260" t="s">
        <v>4279</v>
      </c>
      <c r="P260">
        <v>206.82</v>
      </c>
    </row>
    <row r="261" spans="1:16" x14ac:dyDescent="0.3">
      <c r="A261" t="s">
        <v>273</v>
      </c>
      <c r="B261" s="3">
        <v>45088</v>
      </c>
      <c r="C261" s="7" t="str">
        <f t="shared" si="8"/>
        <v>2023</v>
      </c>
      <c r="D261" s="7" t="str">
        <f t="shared" si="9"/>
        <v>Jun</v>
      </c>
      <c r="E261" s="6" t="s">
        <v>1473</v>
      </c>
      <c r="F261" s="5" t="s">
        <v>2406</v>
      </c>
      <c r="G261">
        <v>4</v>
      </c>
      <c r="H261">
        <v>435.12</v>
      </c>
      <c r="I261" s="6" t="s">
        <v>2535</v>
      </c>
      <c r="J261" s="6" t="s">
        <v>3067</v>
      </c>
      <c r="K261" s="6" t="s">
        <v>3073</v>
      </c>
      <c r="L261" t="s">
        <v>3334</v>
      </c>
      <c r="M261">
        <v>9</v>
      </c>
      <c r="N261" t="s">
        <v>4275</v>
      </c>
      <c r="O261" t="s">
        <v>4278</v>
      </c>
      <c r="P261">
        <v>1740.48</v>
      </c>
    </row>
    <row r="262" spans="1:16" x14ac:dyDescent="0.3">
      <c r="A262" t="s">
        <v>274</v>
      </c>
      <c r="B262" s="3">
        <v>45063</v>
      </c>
      <c r="C262" s="7" t="str">
        <f t="shared" si="8"/>
        <v>2023</v>
      </c>
      <c r="D262" s="7" t="str">
        <f t="shared" si="9"/>
        <v>May</v>
      </c>
      <c r="E262" s="6" t="s">
        <v>1474</v>
      </c>
      <c r="F262" s="5" t="s">
        <v>2403</v>
      </c>
      <c r="G262">
        <v>2</v>
      </c>
      <c r="H262">
        <v>407.79</v>
      </c>
      <c r="I262" s="6" t="s">
        <v>2632</v>
      </c>
      <c r="J262" s="6" t="s">
        <v>3065</v>
      </c>
      <c r="K262" s="6" t="s">
        <v>3070</v>
      </c>
      <c r="L262" t="s">
        <v>3335</v>
      </c>
      <c r="M262">
        <v>3</v>
      </c>
      <c r="N262" t="s">
        <v>4285</v>
      </c>
      <c r="O262" t="s">
        <v>4282</v>
      </c>
      <c r="P262">
        <v>815.58</v>
      </c>
    </row>
    <row r="263" spans="1:16" x14ac:dyDescent="0.3">
      <c r="A263" t="s">
        <v>275</v>
      </c>
      <c r="B263" s="3">
        <v>45805</v>
      </c>
      <c r="C263" s="7" t="str">
        <f t="shared" si="8"/>
        <v>2025</v>
      </c>
      <c r="D263" s="7" t="str">
        <f t="shared" si="9"/>
        <v>May</v>
      </c>
      <c r="E263" s="6" t="s">
        <v>1475</v>
      </c>
      <c r="F263" s="5" t="s">
        <v>2404</v>
      </c>
      <c r="G263">
        <v>5</v>
      </c>
      <c r="H263">
        <v>173.65</v>
      </c>
      <c r="I263" s="6" t="s">
        <v>2633</v>
      </c>
      <c r="J263" s="6" t="s">
        <v>3068</v>
      </c>
      <c r="K263" s="6" t="s">
        <v>3073</v>
      </c>
      <c r="L263" t="s">
        <v>3336</v>
      </c>
      <c r="M263">
        <v>9</v>
      </c>
      <c r="N263" t="s">
        <v>4275</v>
      </c>
      <c r="O263" t="s">
        <v>4280</v>
      </c>
      <c r="P263">
        <v>868.25</v>
      </c>
    </row>
    <row r="264" spans="1:16" x14ac:dyDescent="0.3">
      <c r="A264" t="s">
        <v>276</v>
      </c>
      <c r="B264" s="3">
        <v>44936</v>
      </c>
      <c r="C264" s="7" t="str">
        <f t="shared" si="8"/>
        <v>2023</v>
      </c>
      <c r="D264" s="7" t="str">
        <f t="shared" si="9"/>
        <v>Jan</v>
      </c>
      <c r="E264" s="6" t="s">
        <v>1476</v>
      </c>
      <c r="F264" s="5" t="s">
        <v>2404</v>
      </c>
      <c r="G264">
        <v>4</v>
      </c>
      <c r="H264">
        <v>249.07</v>
      </c>
      <c r="I264" s="6" t="s">
        <v>2536</v>
      </c>
      <c r="J264" s="6" t="s">
        <v>3067</v>
      </c>
      <c r="K264" s="6" t="s">
        <v>3072</v>
      </c>
      <c r="L264" t="s">
        <v>3337</v>
      </c>
      <c r="M264">
        <v>5</v>
      </c>
      <c r="N264" t="s">
        <v>4277</v>
      </c>
      <c r="O264" t="s">
        <v>4279</v>
      </c>
      <c r="P264">
        <v>996.28</v>
      </c>
    </row>
    <row r="265" spans="1:16" x14ac:dyDescent="0.3">
      <c r="A265" t="s">
        <v>277</v>
      </c>
      <c r="B265" s="3">
        <v>45010</v>
      </c>
      <c r="C265" s="7" t="str">
        <f t="shared" si="8"/>
        <v>2023</v>
      </c>
      <c r="D265" s="7" t="str">
        <f t="shared" si="9"/>
        <v>Mar</v>
      </c>
      <c r="E265" s="6" t="s">
        <v>1477</v>
      </c>
      <c r="F265" s="5" t="s">
        <v>2404</v>
      </c>
      <c r="G265">
        <v>4</v>
      </c>
      <c r="H265">
        <v>434.85</v>
      </c>
      <c r="I265" s="6" t="s">
        <v>2634</v>
      </c>
      <c r="J265" s="6" t="s">
        <v>3067</v>
      </c>
      <c r="K265" s="6" t="s">
        <v>3074</v>
      </c>
      <c r="L265" t="s">
        <v>3338</v>
      </c>
      <c r="M265">
        <v>4</v>
      </c>
      <c r="N265" t="s">
        <v>4277</v>
      </c>
      <c r="O265" t="s">
        <v>4282</v>
      </c>
      <c r="P265">
        <v>1739.4</v>
      </c>
    </row>
    <row r="266" spans="1:16" x14ac:dyDescent="0.3">
      <c r="A266" t="s">
        <v>278</v>
      </c>
      <c r="B266" s="3">
        <v>45507</v>
      </c>
      <c r="C266" s="7" t="str">
        <f t="shared" si="8"/>
        <v>2024</v>
      </c>
      <c r="D266" s="7" t="str">
        <f t="shared" si="9"/>
        <v>Aug</v>
      </c>
      <c r="E266" s="6" t="s">
        <v>1478</v>
      </c>
      <c r="F266" s="5" t="s">
        <v>2405</v>
      </c>
      <c r="G266">
        <v>1</v>
      </c>
      <c r="H266">
        <v>436.77</v>
      </c>
      <c r="I266" s="6" t="s">
        <v>2635</v>
      </c>
      <c r="J266" s="6" t="s">
        <v>3069</v>
      </c>
      <c r="K266" s="6" t="s">
        <v>3072</v>
      </c>
      <c r="L266" t="s">
        <v>3339</v>
      </c>
      <c r="M266">
        <v>5</v>
      </c>
      <c r="N266" t="s">
        <v>4276</v>
      </c>
      <c r="O266" t="s">
        <v>4282</v>
      </c>
      <c r="P266">
        <v>436.77</v>
      </c>
    </row>
    <row r="267" spans="1:16" x14ac:dyDescent="0.3">
      <c r="A267" t="s">
        <v>279</v>
      </c>
      <c r="B267" s="3">
        <v>45282</v>
      </c>
      <c r="C267" s="7" t="str">
        <f t="shared" si="8"/>
        <v>2023</v>
      </c>
      <c r="D267" s="7" t="str">
        <f t="shared" si="9"/>
        <v>Dec</v>
      </c>
      <c r="E267" s="6" t="s">
        <v>1479</v>
      </c>
      <c r="F267" s="5" t="s">
        <v>2407</v>
      </c>
      <c r="G267">
        <v>1</v>
      </c>
      <c r="H267">
        <v>572.13</v>
      </c>
      <c r="I267" s="6" t="s">
        <v>2636</v>
      </c>
      <c r="J267" s="6" t="s">
        <v>3065</v>
      </c>
      <c r="K267" s="6" t="s">
        <v>3071</v>
      </c>
      <c r="L267" t="s">
        <v>3340</v>
      </c>
      <c r="M267">
        <v>4</v>
      </c>
      <c r="N267" t="s">
        <v>4275</v>
      </c>
      <c r="O267" t="s">
        <v>4282</v>
      </c>
      <c r="P267">
        <v>572.13</v>
      </c>
    </row>
    <row r="268" spans="1:16" x14ac:dyDescent="0.3">
      <c r="A268" t="s">
        <v>280</v>
      </c>
      <c r="B268" s="3">
        <v>45451</v>
      </c>
      <c r="C268" s="7" t="str">
        <f t="shared" si="8"/>
        <v>2024</v>
      </c>
      <c r="D268" s="7" t="str">
        <f t="shared" si="9"/>
        <v>Jun</v>
      </c>
      <c r="E268" s="6" t="s">
        <v>1480</v>
      </c>
      <c r="F268" s="5" t="s">
        <v>2406</v>
      </c>
      <c r="G268">
        <v>4</v>
      </c>
      <c r="H268">
        <v>583.07000000000005</v>
      </c>
      <c r="I268" s="6" t="s">
        <v>2637</v>
      </c>
      <c r="J268" s="6" t="s">
        <v>3067</v>
      </c>
      <c r="K268" s="6" t="s">
        <v>3071</v>
      </c>
      <c r="L268" t="s">
        <v>3341</v>
      </c>
      <c r="M268">
        <v>6</v>
      </c>
      <c r="N268" t="s">
        <v>4276</v>
      </c>
      <c r="O268" t="s">
        <v>4279</v>
      </c>
      <c r="P268">
        <v>2332.2800000000002</v>
      </c>
    </row>
    <row r="269" spans="1:16" x14ac:dyDescent="0.3">
      <c r="A269" t="s">
        <v>281</v>
      </c>
      <c r="B269" s="3">
        <v>45764</v>
      </c>
      <c r="C269" s="7" t="str">
        <f t="shared" si="8"/>
        <v>2025</v>
      </c>
      <c r="D269" s="7" t="str">
        <f t="shared" si="9"/>
        <v>Apr</v>
      </c>
      <c r="E269" s="6" t="s">
        <v>1481</v>
      </c>
      <c r="F269" s="5" t="s">
        <v>2406</v>
      </c>
      <c r="G269">
        <v>5</v>
      </c>
      <c r="H269">
        <v>468.51</v>
      </c>
      <c r="I269" s="6" t="s">
        <v>2638</v>
      </c>
      <c r="J269" s="6" t="s">
        <v>3065</v>
      </c>
      <c r="K269" s="6" t="s">
        <v>3073</v>
      </c>
      <c r="L269" t="s">
        <v>3342</v>
      </c>
      <c r="M269">
        <v>9</v>
      </c>
      <c r="N269" t="s">
        <v>4285</v>
      </c>
      <c r="O269" t="s">
        <v>4281</v>
      </c>
      <c r="P269">
        <v>2342.5500000000002</v>
      </c>
    </row>
    <row r="270" spans="1:16" x14ac:dyDescent="0.3">
      <c r="A270" t="s">
        <v>282</v>
      </c>
      <c r="B270" s="3">
        <v>45149</v>
      </c>
      <c r="C270" s="7" t="str">
        <f t="shared" si="8"/>
        <v>2023</v>
      </c>
      <c r="D270" s="7" t="str">
        <f t="shared" si="9"/>
        <v>Aug</v>
      </c>
      <c r="E270" s="6" t="s">
        <v>1482</v>
      </c>
      <c r="F270" s="5" t="s">
        <v>2404</v>
      </c>
      <c r="G270">
        <v>2</v>
      </c>
      <c r="H270">
        <v>423.88</v>
      </c>
      <c r="I270" s="6" t="s">
        <v>2639</v>
      </c>
      <c r="J270" s="6" t="s">
        <v>3065</v>
      </c>
      <c r="K270" s="6" t="s">
        <v>3073</v>
      </c>
      <c r="L270" t="s">
        <v>3343</v>
      </c>
      <c r="M270">
        <v>7</v>
      </c>
      <c r="N270" t="s">
        <v>4275</v>
      </c>
      <c r="O270" t="s">
        <v>4279</v>
      </c>
      <c r="P270">
        <v>847.76</v>
      </c>
    </row>
    <row r="271" spans="1:16" x14ac:dyDescent="0.3">
      <c r="A271" t="s">
        <v>283</v>
      </c>
      <c r="B271" s="3">
        <v>45255</v>
      </c>
      <c r="C271" s="7" t="str">
        <f t="shared" si="8"/>
        <v>2023</v>
      </c>
      <c r="D271" s="7" t="str">
        <f t="shared" si="9"/>
        <v>Nov</v>
      </c>
      <c r="E271" s="6" t="s">
        <v>1483</v>
      </c>
      <c r="F271" s="5" t="s">
        <v>2405</v>
      </c>
      <c r="G271">
        <v>4</v>
      </c>
      <c r="H271">
        <v>663.67</v>
      </c>
      <c r="I271" s="6" t="s">
        <v>2477</v>
      </c>
      <c r="J271" s="6" t="s">
        <v>3067</v>
      </c>
      <c r="K271" s="6" t="s">
        <v>3074</v>
      </c>
      <c r="L271" t="s">
        <v>3344</v>
      </c>
      <c r="M271">
        <v>7</v>
      </c>
      <c r="N271" t="s">
        <v>4276</v>
      </c>
      <c r="O271" t="s">
        <v>4282</v>
      </c>
      <c r="P271">
        <v>2654.68</v>
      </c>
    </row>
    <row r="272" spans="1:16" x14ac:dyDescent="0.3">
      <c r="A272" t="s">
        <v>284</v>
      </c>
      <c r="B272" s="3">
        <v>45081</v>
      </c>
      <c r="C272" s="7" t="str">
        <f t="shared" si="8"/>
        <v>2023</v>
      </c>
      <c r="D272" s="7" t="str">
        <f t="shared" si="9"/>
        <v>Jun</v>
      </c>
      <c r="E272" s="6" t="s">
        <v>1484</v>
      </c>
      <c r="F272" s="5" t="s">
        <v>2407</v>
      </c>
      <c r="G272">
        <v>4</v>
      </c>
      <c r="H272">
        <v>309.91000000000003</v>
      </c>
      <c r="I272" s="6" t="s">
        <v>2640</v>
      </c>
      <c r="J272" s="6" t="s">
        <v>3065</v>
      </c>
      <c r="K272" s="6" t="s">
        <v>3070</v>
      </c>
      <c r="L272" t="s">
        <v>3345</v>
      </c>
      <c r="M272">
        <v>5</v>
      </c>
      <c r="N272" t="s">
        <v>4277</v>
      </c>
      <c r="O272" t="s">
        <v>4282</v>
      </c>
      <c r="P272">
        <v>1239.6400000000001</v>
      </c>
    </row>
    <row r="273" spans="1:16" x14ac:dyDescent="0.3">
      <c r="A273" t="s">
        <v>285</v>
      </c>
      <c r="B273" s="3">
        <v>45013</v>
      </c>
      <c r="C273" s="7" t="str">
        <f t="shared" si="8"/>
        <v>2023</v>
      </c>
      <c r="D273" s="7" t="str">
        <f t="shared" si="9"/>
        <v>Mar</v>
      </c>
      <c r="E273" s="6" t="s">
        <v>1485</v>
      </c>
      <c r="F273" s="5" t="s">
        <v>2403</v>
      </c>
      <c r="G273">
        <v>1</v>
      </c>
      <c r="H273">
        <v>542.07000000000005</v>
      </c>
      <c r="I273" s="6" t="s">
        <v>2641</v>
      </c>
      <c r="J273" s="6" t="s">
        <v>3069</v>
      </c>
      <c r="K273" s="6" t="s">
        <v>3070</v>
      </c>
      <c r="L273" t="s">
        <v>3346</v>
      </c>
      <c r="M273">
        <v>6</v>
      </c>
      <c r="N273" t="s">
        <v>4277</v>
      </c>
      <c r="O273" t="s">
        <v>4279</v>
      </c>
      <c r="P273">
        <v>542.07000000000005</v>
      </c>
    </row>
    <row r="274" spans="1:16" x14ac:dyDescent="0.3">
      <c r="A274" t="s">
        <v>286</v>
      </c>
      <c r="B274" s="3">
        <v>45188</v>
      </c>
      <c r="C274" s="7" t="str">
        <f t="shared" si="8"/>
        <v>2023</v>
      </c>
      <c r="D274" s="7" t="str">
        <f t="shared" si="9"/>
        <v>Sept</v>
      </c>
      <c r="E274" s="6" t="s">
        <v>1486</v>
      </c>
      <c r="F274" s="5" t="s">
        <v>2406</v>
      </c>
      <c r="G274">
        <v>2</v>
      </c>
      <c r="H274">
        <v>399.32</v>
      </c>
      <c r="I274" s="6" t="s">
        <v>2642</v>
      </c>
      <c r="J274" s="6" t="s">
        <v>3066</v>
      </c>
      <c r="K274" s="6" t="s">
        <v>3074</v>
      </c>
      <c r="L274" t="s">
        <v>3347</v>
      </c>
      <c r="M274">
        <v>6</v>
      </c>
      <c r="N274" t="s">
        <v>4277</v>
      </c>
      <c r="O274" t="s">
        <v>4278</v>
      </c>
      <c r="P274">
        <v>798.64</v>
      </c>
    </row>
    <row r="275" spans="1:16" x14ac:dyDescent="0.3">
      <c r="A275" t="s">
        <v>287</v>
      </c>
      <c r="B275" s="3">
        <v>45592</v>
      </c>
      <c r="C275" s="7" t="str">
        <f t="shared" si="8"/>
        <v>2024</v>
      </c>
      <c r="D275" s="7" t="str">
        <f t="shared" si="9"/>
        <v>Oct</v>
      </c>
      <c r="E275" s="6" t="s">
        <v>1487</v>
      </c>
      <c r="F275" s="5" t="s">
        <v>2405</v>
      </c>
      <c r="G275">
        <v>2</v>
      </c>
      <c r="H275">
        <v>238.25</v>
      </c>
      <c r="I275" s="6" t="s">
        <v>2643</v>
      </c>
      <c r="J275" s="6" t="s">
        <v>3066</v>
      </c>
      <c r="K275" s="6" t="s">
        <v>3071</v>
      </c>
      <c r="L275" t="s">
        <v>3348</v>
      </c>
      <c r="M275">
        <v>7</v>
      </c>
      <c r="N275" t="s">
        <v>4276</v>
      </c>
      <c r="O275" t="s">
        <v>4280</v>
      </c>
      <c r="P275">
        <v>476.5</v>
      </c>
    </row>
    <row r="276" spans="1:16" x14ac:dyDescent="0.3">
      <c r="A276" t="s">
        <v>288</v>
      </c>
      <c r="B276" s="3">
        <v>44961</v>
      </c>
      <c r="C276" s="7" t="str">
        <f t="shared" si="8"/>
        <v>2023</v>
      </c>
      <c r="D276" s="7" t="str">
        <f t="shared" si="9"/>
        <v>Feb</v>
      </c>
      <c r="E276" s="6" t="s">
        <v>1488</v>
      </c>
      <c r="F276" s="5" t="s">
        <v>2404</v>
      </c>
      <c r="G276">
        <v>2</v>
      </c>
      <c r="H276">
        <v>182.4</v>
      </c>
      <c r="I276" s="6" t="s">
        <v>2644</v>
      </c>
      <c r="J276" s="6" t="s">
        <v>3068</v>
      </c>
      <c r="K276" s="6" t="s">
        <v>3071</v>
      </c>
      <c r="L276" t="s">
        <v>3349</v>
      </c>
      <c r="M276">
        <v>5</v>
      </c>
      <c r="N276" t="s">
        <v>4275</v>
      </c>
      <c r="O276" t="s">
        <v>4279</v>
      </c>
      <c r="P276">
        <v>364.8</v>
      </c>
    </row>
    <row r="277" spans="1:16" x14ac:dyDescent="0.3">
      <c r="A277" t="s">
        <v>289</v>
      </c>
      <c r="B277" s="3">
        <v>45234</v>
      </c>
      <c r="C277" s="7" t="str">
        <f t="shared" si="8"/>
        <v>2023</v>
      </c>
      <c r="D277" s="7" t="str">
        <f t="shared" si="9"/>
        <v>Nov</v>
      </c>
      <c r="E277" s="6" t="s">
        <v>1489</v>
      </c>
      <c r="F277" s="5" t="s">
        <v>2406</v>
      </c>
      <c r="G277">
        <v>2</v>
      </c>
      <c r="H277">
        <v>65.069999999999993</v>
      </c>
      <c r="I277" s="6" t="s">
        <v>2645</v>
      </c>
      <c r="J277" s="6" t="s">
        <v>3067</v>
      </c>
      <c r="K277" s="6" t="s">
        <v>3071</v>
      </c>
      <c r="L277" t="s">
        <v>3350</v>
      </c>
      <c r="M277">
        <v>4</v>
      </c>
      <c r="N277" t="s">
        <v>4275</v>
      </c>
      <c r="O277" t="s">
        <v>4282</v>
      </c>
      <c r="P277">
        <v>130.13999999999999</v>
      </c>
    </row>
    <row r="278" spans="1:16" x14ac:dyDescent="0.3">
      <c r="A278" t="s">
        <v>290</v>
      </c>
      <c r="B278" s="3">
        <v>45745</v>
      </c>
      <c r="C278" s="7" t="str">
        <f t="shared" si="8"/>
        <v>2025</v>
      </c>
      <c r="D278" s="7" t="str">
        <f t="shared" si="9"/>
        <v>Mar</v>
      </c>
      <c r="E278" s="6" t="s">
        <v>1490</v>
      </c>
      <c r="F278" s="5" t="s">
        <v>2407</v>
      </c>
      <c r="G278">
        <v>2</v>
      </c>
      <c r="H278">
        <v>600.57000000000005</v>
      </c>
      <c r="I278" s="6" t="s">
        <v>2646</v>
      </c>
      <c r="J278" s="6" t="s">
        <v>3065</v>
      </c>
      <c r="K278" s="6" t="s">
        <v>3072</v>
      </c>
      <c r="L278" t="s">
        <v>3351</v>
      </c>
      <c r="M278">
        <v>3</v>
      </c>
      <c r="N278" t="s">
        <v>4277</v>
      </c>
      <c r="O278" t="s">
        <v>4278</v>
      </c>
      <c r="P278">
        <v>1201.1400000000001</v>
      </c>
    </row>
    <row r="279" spans="1:16" x14ac:dyDescent="0.3">
      <c r="A279" t="s">
        <v>291</v>
      </c>
      <c r="B279" s="3">
        <v>45544</v>
      </c>
      <c r="C279" s="7" t="str">
        <f t="shared" si="8"/>
        <v>2024</v>
      </c>
      <c r="D279" s="7" t="str">
        <f t="shared" si="9"/>
        <v>Sept</v>
      </c>
      <c r="E279" s="6" t="s">
        <v>1491</v>
      </c>
      <c r="F279" s="5" t="s">
        <v>2406</v>
      </c>
      <c r="G279">
        <v>5</v>
      </c>
      <c r="H279">
        <v>90.92</v>
      </c>
      <c r="I279" s="6" t="s">
        <v>2647</v>
      </c>
      <c r="J279" s="6" t="s">
        <v>3067</v>
      </c>
      <c r="K279" s="6" t="s">
        <v>3073</v>
      </c>
      <c r="L279" t="s">
        <v>3352</v>
      </c>
      <c r="M279">
        <v>9</v>
      </c>
      <c r="N279" t="s">
        <v>4275</v>
      </c>
      <c r="O279" t="s">
        <v>4281</v>
      </c>
      <c r="P279">
        <v>454.6</v>
      </c>
    </row>
    <row r="280" spans="1:16" x14ac:dyDescent="0.3">
      <c r="A280" t="s">
        <v>292</v>
      </c>
      <c r="B280" s="3">
        <v>45614</v>
      </c>
      <c r="C280" s="7" t="str">
        <f t="shared" si="8"/>
        <v>2024</v>
      </c>
      <c r="D280" s="7" t="str">
        <f t="shared" si="9"/>
        <v>Nov</v>
      </c>
      <c r="E280" s="6" t="s">
        <v>1492</v>
      </c>
      <c r="F280" s="5" t="s">
        <v>2408</v>
      </c>
      <c r="G280">
        <v>5</v>
      </c>
      <c r="H280">
        <v>362.46</v>
      </c>
      <c r="I280" s="6" t="s">
        <v>2648</v>
      </c>
      <c r="J280" s="6" t="s">
        <v>3069</v>
      </c>
      <c r="K280" s="6" t="s">
        <v>3073</v>
      </c>
      <c r="L280" t="s">
        <v>3353</v>
      </c>
      <c r="M280">
        <v>6</v>
      </c>
      <c r="N280" t="s">
        <v>4276</v>
      </c>
      <c r="O280" t="s">
        <v>4278</v>
      </c>
      <c r="P280">
        <v>1812.3</v>
      </c>
    </row>
    <row r="281" spans="1:16" x14ac:dyDescent="0.3">
      <c r="A281" t="s">
        <v>293</v>
      </c>
      <c r="B281" s="3">
        <v>45219</v>
      </c>
      <c r="C281" s="7" t="str">
        <f t="shared" si="8"/>
        <v>2023</v>
      </c>
      <c r="D281" s="7" t="str">
        <f t="shared" si="9"/>
        <v>Oct</v>
      </c>
      <c r="E281" s="6" t="s">
        <v>1493</v>
      </c>
      <c r="F281" s="5" t="s">
        <v>2406</v>
      </c>
      <c r="G281">
        <v>3</v>
      </c>
      <c r="H281">
        <v>55.01</v>
      </c>
      <c r="I281" s="6" t="s">
        <v>2649</v>
      </c>
      <c r="J281" s="6" t="s">
        <v>3066</v>
      </c>
      <c r="K281" s="6" t="s">
        <v>3074</v>
      </c>
      <c r="L281" t="s">
        <v>3354</v>
      </c>
      <c r="M281">
        <v>7</v>
      </c>
      <c r="N281" t="s">
        <v>4277</v>
      </c>
      <c r="O281" t="s">
        <v>4280</v>
      </c>
      <c r="P281">
        <v>165.03</v>
      </c>
    </row>
    <row r="282" spans="1:16" x14ac:dyDescent="0.3">
      <c r="A282" t="s">
        <v>294</v>
      </c>
      <c r="B282" s="3">
        <v>45012</v>
      </c>
      <c r="C282" s="7" t="str">
        <f t="shared" si="8"/>
        <v>2023</v>
      </c>
      <c r="D282" s="7" t="str">
        <f t="shared" si="9"/>
        <v>Mar</v>
      </c>
      <c r="E282" s="6" t="s">
        <v>1494</v>
      </c>
      <c r="F282" s="5" t="s">
        <v>2405</v>
      </c>
      <c r="G282">
        <v>3</v>
      </c>
      <c r="H282">
        <v>404.62</v>
      </c>
      <c r="I282" s="6" t="s">
        <v>2650</v>
      </c>
      <c r="J282" s="6" t="s">
        <v>3068</v>
      </c>
      <c r="K282" s="6" t="s">
        <v>3073</v>
      </c>
      <c r="L282" t="s">
        <v>3355</v>
      </c>
      <c r="M282">
        <v>6</v>
      </c>
      <c r="N282" t="s">
        <v>4276</v>
      </c>
      <c r="O282" t="s">
        <v>4278</v>
      </c>
      <c r="P282">
        <v>1213.8599999999999</v>
      </c>
    </row>
    <row r="283" spans="1:16" x14ac:dyDescent="0.3">
      <c r="A283" t="s">
        <v>295</v>
      </c>
      <c r="B283" s="3">
        <v>45134</v>
      </c>
      <c r="C283" s="7" t="str">
        <f t="shared" si="8"/>
        <v>2023</v>
      </c>
      <c r="D283" s="7" t="str">
        <f t="shared" si="9"/>
        <v>Jul</v>
      </c>
      <c r="E283" s="6" t="s">
        <v>1495</v>
      </c>
      <c r="F283" s="5" t="s">
        <v>2409</v>
      </c>
      <c r="G283">
        <v>4</v>
      </c>
      <c r="H283">
        <v>654.79</v>
      </c>
      <c r="I283" s="6" t="s">
        <v>2651</v>
      </c>
      <c r="J283" s="6" t="s">
        <v>3069</v>
      </c>
      <c r="K283" s="6" t="s">
        <v>3074</v>
      </c>
      <c r="L283" t="s">
        <v>3356</v>
      </c>
      <c r="M283">
        <v>9</v>
      </c>
      <c r="N283" t="s">
        <v>4285</v>
      </c>
      <c r="O283" t="s">
        <v>4279</v>
      </c>
      <c r="P283">
        <v>2619.16</v>
      </c>
    </row>
    <row r="284" spans="1:16" x14ac:dyDescent="0.3">
      <c r="A284" t="s">
        <v>296</v>
      </c>
      <c r="B284" s="3">
        <v>45769</v>
      </c>
      <c r="C284" s="7" t="str">
        <f t="shared" si="8"/>
        <v>2025</v>
      </c>
      <c r="D284" s="7" t="str">
        <f t="shared" si="9"/>
        <v>Apr</v>
      </c>
      <c r="E284" s="6" t="s">
        <v>1496</v>
      </c>
      <c r="F284" s="5" t="s">
        <v>2407</v>
      </c>
      <c r="G284">
        <v>4</v>
      </c>
      <c r="H284">
        <v>637.79</v>
      </c>
      <c r="I284" s="6" t="s">
        <v>2652</v>
      </c>
      <c r="J284" s="6" t="s">
        <v>3068</v>
      </c>
      <c r="K284" s="6" t="s">
        <v>3071</v>
      </c>
      <c r="L284" t="s">
        <v>3357</v>
      </c>
      <c r="M284">
        <v>9</v>
      </c>
      <c r="N284" t="s">
        <v>4276</v>
      </c>
      <c r="O284" t="s">
        <v>4282</v>
      </c>
      <c r="P284">
        <v>2551.16</v>
      </c>
    </row>
    <row r="285" spans="1:16" x14ac:dyDescent="0.3">
      <c r="A285" t="s">
        <v>297</v>
      </c>
      <c r="B285" s="3">
        <v>45716</v>
      </c>
      <c r="C285" s="7" t="str">
        <f t="shared" si="8"/>
        <v>2025</v>
      </c>
      <c r="D285" s="7" t="str">
        <f t="shared" si="9"/>
        <v>Feb</v>
      </c>
      <c r="E285" s="6" t="s">
        <v>1497</v>
      </c>
      <c r="F285" s="5" t="s">
        <v>2408</v>
      </c>
      <c r="G285">
        <v>4</v>
      </c>
      <c r="H285">
        <v>540.33000000000004</v>
      </c>
      <c r="I285" s="6" t="s">
        <v>2653</v>
      </c>
      <c r="J285" s="6" t="s">
        <v>3069</v>
      </c>
      <c r="K285" s="6" t="s">
        <v>3070</v>
      </c>
      <c r="L285" t="s">
        <v>3358</v>
      </c>
      <c r="M285">
        <v>6</v>
      </c>
      <c r="N285" t="s">
        <v>4285</v>
      </c>
      <c r="O285" t="s">
        <v>4282</v>
      </c>
      <c r="P285">
        <v>2161.3200000000002</v>
      </c>
    </row>
    <row r="286" spans="1:16" x14ac:dyDescent="0.3">
      <c r="A286" t="s">
        <v>298</v>
      </c>
      <c r="B286" s="3">
        <v>44973</v>
      </c>
      <c r="C286" s="7" t="str">
        <f t="shared" si="8"/>
        <v>2023</v>
      </c>
      <c r="D286" s="7" t="str">
        <f t="shared" si="9"/>
        <v>Feb</v>
      </c>
      <c r="E286" s="6" t="s">
        <v>1498</v>
      </c>
      <c r="F286" s="5" t="s">
        <v>2408</v>
      </c>
      <c r="G286">
        <v>5</v>
      </c>
      <c r="H286">
        <v>208.17</v>
      </c>
      <c r="I286" s="6" t="s">
        <v>2654</v>
      </c>
      <c r="J286" s="6" t="s">
        <v>3067</v>
      </c>
      <c r="K286" s="6" t="s">
        <v>3072</v>
      </c>
      <c r="L286" t="s">
        <v>3359</v>
      </c>
      <c r="M286">
        <v>6</v>
      </c>
      <c r="N286" t="s">
        <v>4275</v>
      </c>
      <c r="O286" t="s">
        <v>4281</v>
      </c>
      <c r="P286">
        <v>1040.8499999999999</v>
      </c>
    </row>
    <row r="287" spans="1:16" x14ac:dyDescent="0.3">
      <c r="A287" t="s">
        <v>299</v>
      </c>
      <c r="B287" s="3">
        <v>45818</v>
      </c>
      <c r="C287" s="7" t="str">
        <f t="shared" si="8"/>
        <v>2025</v>
      </c>
      <c r="D287" s="7" t="str">
        <f t="shared" si="9"/>
        <v>Jun</v>
      </c>
      <c r="E287" s="6" t="s">
        <v>1499</v>
      </c>
      <c r="F287" s="5" t="s">
        <v>2404</v>
      </c>
      <c r="G287">
        <v>1</v>
      </c>
      <c r="H287">
        <v>338.31</v>
      </c>
      <c r="I287" s="6" t="s">
        <v>2643</v>
      </c>
      <c r="J287" s="6" t="s">
        <v>3066</v>
      </c>
      <c r="K287" s="6" t="s">
        <v>3073</v>
      </c>
      <c r="L287" t="s">
        <v>3360</v>
      </c>
      <c r="M287">
        <v>3</v>
      </c>
      <c r="N287" t="s">
        <v>4285</v>
      </c>
      <c r="O287" t="s">
        <v>4282</v>
      </c>
      <c r="P287">
        <v>338.31</v>
      </c>
    </row>
    <row r="288" spans="1:16" x14ac:dyDescent="0.3">
      <c r="A288" t="s">
        <v>300</v>
      </c>
      <c r="B288" s="3">
        <v>45754</v>
      </c>
      <c r="C288" s="7" t="str">
        <f t="shared" si="8"/>
        <v>2025</v>
      </c>
      <c r="D288" s="7" t="str">
        <f t="shared" si="9"/>
        <v>Apr</v>
      </c>
      <c r="E288" s="6" t="s">
        <v>1500</v>
      </c>
      <c r="F288" s="5" t="s">
        <v>2403</v>
      </c>
      <c r="G288">
        <v>3</v>
      </c>
      <c r="H288">
        <v>139.44999999999999</v>
      </c>
      <c r="I288" s="6" t="s">
        <v>2522</v>
      </c>
      <c r="J288" s="6" t="s">
        <v>3068</v>
      </c>
      <c r="K288" s="6" t="s">
        <v>3072</v>
      </c>
      <c r="L288" t="s">
        <v>3361</v>
      </c>
      <c r="M288">
        <v>8</v>
      </c>
      <c r="N288" t="s">
        <v>4277</v>
      </c>
      <c r="O288" t="s">
        <v>4282</v>
      </c>
      <c r="P288">
        <v>418.35</v>
      </c>
    </row>
    <row r="289" spans="1:16" x14ac:dyDescent="0.3">
      <c r="A289" t="s">
        <v>301</v>
      </c>
      <c r="B289" s="3">
        <v>45254</v>
      </c>
      <c r="C289" s="7" t="str">
        <f t="shared" si="8"/>
        <v>2023</v>
      </c>
      <c r="D289" s="7" t="str">
        <f t="shared" si="9"/>
        <v>Nov</v>
      </c>
      <c r="E289" s="6" t="s">
        <v>1501</v>
      </c>
      <c r="F289" s="5" t="s">
        <v>2406</v>
      </c>
      <c r="G289">
        <v>4</v>
      </c>
      <c r="H289">
        <v>655.17999999999995</v>
      </c>
      <c r="I289" s="6" t="s">
        <v>2655</v>
      </c>
      <c r="J289" s="6" t="s">
        <v>3066</v>
      </c>
      <c r="K289" s="6" t="s">
        <v>3070</v>
      </c>
      <c r="L289" t="s">
        <v>3362</v>
      </c>
      <c r="M289">
        <v>5</v>
      </c>
      <c r="N289" t="s">
        <v>4285</v>
      </c>
      <c r="O289" t="s">
        <v>4281</v>
      </c>
      <c r="P289">
        <v>2620.7199999999998</v>
      </c>
    </row>
    <row r="290" spans="1:16" x14ac:dyDescent="0.3">
      <c r="A290" t="s">
        <v>302</v>
      </c>
      <c r="B290" s="3">
        <v>44997</v>
      </c>
      <c r="C290" s="7" t="str">
        <f t="shared" si="8"/>
        <v>2023</v>
      </c>
      <c r="D290" s="7" t="str">
        <f t="shared" si="9"/>
        <v>Mar</v>
      </c>
      <c r="E290" s="6" t="s">
        <v>1502</v>
      </c>
      <c r="F290" s="5" t="s">
        <v>2408</v>
      </c>
      <c r="G290">
        <v>4</v>
      </c>
      <c r="H290">
        <v>512.75</v>
      </c>
      <c r="I290" s="6" t="s">
        <v>2656</v>
      </c>
      <c r="J290" s="6" t="s">
        <v>3065</v>
      </c>
      <c r="K290" s="6" t="s">
        <v>3072</v>
      </c>
      <c r="L290" t="s">
        <v>3363</v>
      </c>
      <c r="M290">
        <v>8</v>
      </c>
      <c r="N290" t="s">
        <v>4277</v>
      </c>
      <c r="O290" t="s">
        <v>4282</v>
      </c>
      <c r="P290">
        <v>2051</v>
      </c>
    </row>
    <row r="291" spans="1:16" x14ac:dyDescent="0.3">
      <c r="A291" t="s">
        <v>303</v>
      </c>
      <c r="B291" s="3">
        <v>45133</v>
      </c>
      <c r="C291" s="7" t="str">
        <f t="shared" si="8"/>
        <v>2023</v>
      </c>
      <c r="D291" s="7" t="str">
        <f t="shared" si="9"/>
        <v>Jul</v>
      </c>
      <c r="E291" s="6" t="s">
        <v>1503</v>
      </c>
      <c r="F291" s="5" t="s">
        <v>2406</v>
      </c>
      <c r="G291">
        <v>4</v>
      </c>
      <c r="H291">
        <v>160.49</v>
      </c>
      <c r="I291" s="6" t="s">
        <v>2420</v>
      </c>
      <c r="J291" s="6" t="s">
        <v>3067</v>
      </c>
      <c r="K291" s="6" t="s">
        <v>3070</v>
      </c>
      <c r="L291" t="s">
        <v>3364</v>
      </c>
      <c r="M291">
        <v>8</v>
      </c>
      <c r="N291" t="s">
        <v>4277</v>
      </c>
      <c r="O291" t="s">
        <v>4279</v>
      </c>
      <c r="P291">
        <v>641.96</v>
      </c>
    </row>
    <row r="292" spans="1:16" x14ac:dyDescent="0.3">
      <c r="A292" t="s">
        <v>304</v>
      </c>
      <c r="B292" s="3">
        <v>45051</v>
      </c>
      <c r="C292" s="7" t="str">
        <f t="shared" si="8"/>
        <v>2023</v>
      </c>
      <c r="D292" s="7" t="str">
        <f t="shared" si="9"/>
        <v>May</v>
      </c>
      <c r="E292" s="6" t="s">
        <v>1504</v>
      </c>
      <c r="F292" s="5" t="s">
        <v>2406</v>
      </c>
      <c r="G292">
        <v>3</v>
      </c>
      <c r="H292">
        <v>99.9</v>
      </c>
      <c r="I292" s="6" t="s">
        <v>2575</v>
      </c>
      <c r="J292" s="6" t="s">
        <v>3069</v>
      </c>
      <c r="K292" s="6" t="s">
        <v>3073</v>
      </c>
      <c r="L292" t="s">
        <v>3365</v>
      </c>
      <c r="M292">
        <v>8</v>
      </c>
      <c r="N292" t="s">
        <v>4276</v>
      </c>
      <c r="O292" t="s">
        <v>4281</v>
      </c>
      <c r="P292">
        <v>299.7</v>
      </c>
    </row>
    <row r="293" spans="1:16" x14ac:dyDescent="0.3">
      <c r="A293" t="s">
        <v>305</v>
      </c>
      <c r="B293" s="3">
        <v>45424</v>
      </c>
      <c r="C293" s="7" t="str">
        <f t="shared" si="8"/>
        <v>2024</v>
      </c>
      <c r="D293" s="7" t="str">
        <f t="shared" si="9"/>
        <v>May</v>
      </c>
      <c r="E293" s="6" t="s">
        <v>1505</v>
      </c>
      <c r="F293" s="5" t="s">
        <v>2404</v>
      </c>
      <c r="G293">
        <v>2</v>
      </c>
      <c r="H293">
        <v>345.01</v>
      </c>
      <c r="I293" s="6" t="s">
        <v>2657</v>
      </c>
      <c r="J293" s="6" t="s">
        <v>3067</v>
      </c>
      <c r="K293" s="6" t="s">
        <v>3073</v>
      </c>
      <c r="L293" t="s">
        <v>3366</v>
      </c>
      <c r="M293">
        <v>6</v>
      </c>
      <c r="N293" t="s">
        <v>4276</v>
      </c>
      <c r="O293" t="s">
        <v>4282</v>
      </c>
      <c r="P293">
        <v>690.02</v>
      </c>
    </row>
    <row r="294" spans="1:16" x14ac:dyDescent="0.3">
      <c r="A294" t="s">
        <v>306</v>
      </c>
      <c r="B294" s="3">
        <v>45672</v>
      </c>
      <c r="C294" s="7" t="str">
        <f t="shared" si="8"/>
        <v>2025</v>
      </c>
      <c r="D294" s="7" t="str">
        <f t="shared" si="9"/>
        <v>Jan</v>
      </c>
      <c r="E294" s="6" t="s">
        <v>1506</v>
      </c>
      <c r="F294" s="5" t="s">
        <v>2403</v>
      </c>
      <c r="G294">
        <v>1</v>
      </c>
      <c r="H294">
        <v>65.95</v>
      </c>
      <c r="I294" s="6" t="s">
        <v>2594</v>
      </c>
      <c r="J294" s="6" t="s">
        <v>3067</v>
      </c>
      <c r="K294" s="6" t="s">
        <v>3073</v>
      </c>
      <c r="L294" t="s">
        <v>3367</v>
      </c>
      <c r="M294">
        <v>5</v>
      </c>
      <c r="N294" t="s">
        <v>4285</v>
      </c>
      <c r="O294" t="s">
        <v>4281</v>
      </c>
      <c r="P294">
        <v>65.95</v>
      </c>
    </row>
    <row r="295" spans="1:16" x14ac:dyDescent="0.3">
      <c r="A295" t="s">
        <v>307</v>
      </c>
      <c r="B295" s="3">
        <v>44973</v>
      </c>
      <c r="C295" s="7" t="str">
        <f t="shared" si="8"/>
        <v>2023</v>
      </c>
      <c r="D295" s="7" t="str">
        <f t="shared" si="9"/>
        <v>Feb</v>
      </c>
      <c r="E295" s="6" t="s">
        <v>1507</v>
      </c>
      <c r="F295" s="5" t="s">
        <v>2405</v>
      </c>
      <c r="G295">
        <v>4</v>
      </c>
      <c r="H295">
        <v>463.04</v>
      </c>
      <c r="I295" s="6" t="s">
        <v>2658</v>
      </c>
      <c r="J295" s="6" t="s">
        <v>3068</v>
      </c>
      <c r="K295" s="6" t="s">
        <v>3072</v>
      </c>
      <c r="L295" t="s">
        <v>3368</v>
      </c>
      <c r="M295">
        <v>9</v>
      </c>
      <c r="N295" t="s">
        <v>4285</v>
      </c>
      <c r="O295" t="s">
        <v>4278</v>
      </c>
      <c r="P295">
        <v>1852.16</v>
      </c>
    </row>
    <row r="296" spans="1:16" x14ac:dyDescent="0.3">
      <c r="A296" t="s">
        <v>308</v>
      </c>
      <c r="B296" s="3">
        <v>45748</v>
      </c>
      <c r="C296" s="7" t="str">
        <f t="shared" si="8"/>
        <v>2025</v>
      </c>
      <c r="D296" s="7" t="str">
        <f t="shared" si="9"/>
        <v>Apr</v>
      </c>
      <c r="E296" s="6" t="s">
        <v>1508</v>
      </c>
      <c r="F296" s="5" t="s">
        <v>2404</v>
      </c>
      <c r="G296">
        <v>2</v>
      </c>
      <c r="H296">
        <v>297.70999999999998</v>
      </c>
      <c r="I296" s="6" t="s">
        <v>2659</v>
      </c>
      <c r="J296" s="6" t="s">
        <v>3066</v>
      </c>
      <c r="K296" s="6" t="s">
        <v>3070</v>
      </c>
      <c r="L296" t="s">
        <v>3369</v>
      </c>
      <c r="M296">
        <v>7</v>
      </c>
      <c r="N296" t="s">
        <v>4275</v>
      </c>
      <c r="O296" t="s">
        <v>4279</v>
      </c>
      <c r="P296">
        <v>595.41999999999996</v>
      </c>
    </row>
    <row r="297" spans="1:16" x14ac:dyDescent="0.3">
      <c r="A297" t="s">
        <v>309</v>
      </c>
      <c r="B297" s="3">
        <v>44951</v>
      </c>
      <c r="C297" s="7" t="str">
        <f t="shared" si="8"/>
        <v>2023</v>
      </c>
      <c r="D297" s="7" t="str">
        <f t="shared" si="9"/>
        <v>Jan</v>
      </c>
      <c r="E297" s="6" t="s">
        <v>1509</v>
      </c>
      <c r="F297" s="5" t="s">
        <v>2407</v>
      </c>
      <c r="G297">
        <v>5</v>
      </c>
      <c r="H297">
        <v>107.48</v>
      </c>
      <c r="I297" s="6" t="s">
        <v>2660</v>
      </c>
      <c r="J297" s="6" t="s">
        <v>3065</v>
      </c>
      <c r="K297" s="6" t="s">
        <v>3071</v>
      </c>
      <c r="L297" t="s">
        <v>3370</v>
      </c>
      <c r="M297">
        <v>9</v>
      </c>
      <c r="N297" t="s">
        <v>4276</v>
      </c>
      <c r="O297" t="s">
        <v>4280</v>
      </c>
      <c r="P297">
        <v>537.4</v>
      </c>
    </row>
    <row r="298" spans="1:16" x14ac:dyDescent="0.3">
      <c r="A298" t="s">
        <v>310</v>
      </c>
      <c r="B298" s="3">
        <v>45462</v>
      </c>
      <c r="C298" s="7" t="str">
        <f t="shared" si="8"/>
        <v>2024</v>
      </c>
      <c r="D298" s="7" t="str">
        <f t="shared" si="9"/>
        <v>Jun</v>
      </c>
      <c r="E298" s="6" t="s">
        <v>1510</v>
      </c>
      <c r="F298" s="5" t="s">
        <v>2409</v>
      </c>
      <c r="G298">
        <v>5</v>
      </c>
      <c r="H298">
        <v>638.79999999999995</v>
      </c>
      <c r="I298" s="6" t="s">
        <v>2458</v>
      </c>
      <c r="J298" s="6" t="s">
        <v>3065</v>
      </c>
      <c r="K298" s="6" t="s">
        <v>3071</v>
      </c>
      <c r="L298" t="s">
        <v>3371</v>
      </c>
      <c r="M298">
        <v>10</v>
      </c>
      <c r="N298" t="s">
        <v>4277</v>
      </c>
      <c r="O298" t="s">
        <v>4279</v>
      </c>
      <c r="P298">
        <v>3194</v>
      </c>
    </row>
    <row r="299" spans="1:16" x14ac:dyDescent="0.3">
      <c r="A299" t="s">
        <v>311</v>
      </c>
      <c r="B299" s="3">
        <v>44979</v>
      </c>
      <c r="C299" s="7" t="str">
        <f t="shared" si="8"/>
        <v>2023</v>
      </c>
      <c r="D299" s="7" t="str">
        <f t="shared" si="9"/>
        <v>Feb</v>
      </c>
      <c r="E299" s="6" t="s">
        <v>1511</v>
      </c>
      <c r="F299" s="5" t="s">
        <v>2409</v>
      </c>
      <c r="G299">
        <v>2</v>
      </c>
      <c r="H299">
        <v>493.88</v>
      </c>
      <c r="I299" s="6" t="s">
        <v>2661</v>
      </c>
      <c r="J299" s="6" t="s">
        <v>3067</v>
      </c>
      <c r="K299" s="6" t="s">
        <v>3072</v>
      </c>
      <c r="L299" t="s">
        <v>3372</v>
      </c>
      <c r="M299">
        <v>7</v>
      </c>
      <c r="N299" t="s">
        <v>4275</v>
      </c>
      <c r="O299" t="s">
        <v>4278</v>
      </c>
      <c r="P299">
        <v>987.76</v>
      </c>
    </row>
    <row r="300" spans="1:16" x14ac:dyDescent="0.3">
      <c r="A300" t="s">
        <v>312</v>
      </c>
      <c r="B300" s="3">
        <v>45279</v>
      </c>
      <c r="C300" s="7" t="str">
        <f t="shared" si="8"/>
        <v>2023</v>
      </c>
      <c r="D300" s="7" t="str">
        <f t="shared" si="9"/>
        <v>Dec</v>
      </c>
      <c r="E300" s="6" t="s">
        <v>1512</v>
      </c>
      <c r="F300" s="5" t="s">
        <v>2407</v>
      </c>
      <c r="G300">
        <v>4</v>
      </c>
      <c r="H300">
        <v>301.17</v>
      </c>
      <c r="I300" s="6" t="s">
        <v>2450</v>
      </c>
      <c r="J300" s="6" t="s">
        <v>3066</v>
      </c>
      <c r="K300" s="6" t="s">
        <v>3071</v>
      </c>
      <c r="L300" t="s">
        <v>3373</v>
      </c>
      <c r="M300">
        <v>6</v>
      </c>
      <c r="N300" t="s">
        <v>4285</v>
      </c>
      <c r="O300" t="s">
        <v>4280</v>
      </c>
      <c r="P300">
        <v>1204.68</v>
      </c>
    </row>
    <row r="301" spans="1:16" x14ac:dyDescent="0.3">
      <c r="A301" t="s">
        <v>313</v>
      </c>
      <c r="B301" s="3">
        <v>45311</v>
      </c>
      <c r="C301" s="7" t="str">
        <f t="shared" si="8"/>
        <v>2024</v>
      </c>
      <c r="D301" s="7" t="str">
        <f t="shared" si="9"/>
        <v>Jan</v>
      </c>
      <c r="E301" s="6" t="s">
        <v>1513</v>
      </c>
      <c r="F301" s="5" t="s">
        <v>2403</v>
      </c>
      <c r="G301">
        <v>1</v>
      </c>
      <c r="H301">
        <v>278.66000000000003</v>
      </c>
      <c r="I301" s="6" t="s">
        <v>2662</v>
      </c>
      <c r="J301" s="6" t="s">
        <v>3068</v>
      </c>
      <c r="K301" s="6" t="s">
        <v>3071</v>
      </c>
      <c r="L301" t="s">
        <v>3374</v>
      </c>
      <c r="M301">
        <v>2</v>
      </c>
      <c r="N301" t="s">
        <v>4276</v>
      </c>
      <c r="O301" t="s">
        <v>4278</v>
      </c>
      <c r="P301">
        <v>278.66000000000003</v>
      </c>
    </row>
    <row r="302" spans="1:16" x14ac:dyDescent="0.3">
      <c r="A302" t="s">
        <v>314</v>
      </c>
      <c r="B302" s="3">
        <v>45537</v>
      </c>
      <c r="C302" s="7" t="str">
        <f t="shared" si="8"/>
        <v>2024</v>
      </c>
      <c r="D302" s="7" t="str">
        <f t="shared" si="9"/>
        <v>Sept</v>
      </c>
      <c r="E302" s="6" t="s">
        <v>1514</v>
      </c>
      <c r="F302" s="5" t="s">
        <v>2404</v>
      </c>
      <c r="G302">
        <v>1</v>
      </c>
      <c r="H302">
        <v>287.45999999999998</v>
      </c>
      <c r="I302" s="6" t="s">
        <v>2663</v>
      </c>
      <c r="J302" s="6" t="s">
        <v>3065</v>
      </c>
      <c r="K302" s="6" t="s">
        <v>3072</v>
      </c>
      <c r="L302" t="s">
        <v>3375</v>
      </c>
      <c r="M302">
        <v>3</v>
      </c>
      <c r="N302" t="s">
        <v>4276</v>
      </c>
      <c r="O302" t="s">
        <v>4281</v>
      </c>
      <c r="P302">
        <v>287.45999999999998</v>
      </c>
    </row>
    <row r="303" spans="1:16" x14ac:dyDescent="0.3">
      <c r="A303" t="s">
        <v>315</v>
      </c>
      <c r="B303" s="3">
        <v>45057</v>
      </c>
      <c r="C303" s="7" t="str">
        <f t="shared" si="8"/>
        <v>2023</v>
      </c>
      <c r="D303" s="7" t="str">
        <f t="shared" si="9"/>
        <v>May</v>
      </c>
      <c r="E303" s="6" t="s">
        <v>1515</v>
      </c>
      <c r="F303" s="5" t="s">
        <v>2406</v>
      </c>
      <c r="G303">
        <v>1</v>
      </c>
      <c r="H303">
        <v>583.99</v>
      </c>
      <c r="I303" s="6" t="s">
        <v>2664</v>
      </c>
      <c r="J303" s="6" t="s">
        <v>3069</v>
      </c>
      <c r="K303" s="6" t="s">
        <v>3071</v>
      </c>
      <c r="L303" t="s">
        <v>3376</v>
      </c>
      <c r="M303">
        <v>2</v>
      </c>
      <c r="N303" t="s">
        <v>4275</v>
      </c>
      <c r="O303" t="s">
        <v>4280</v>
      </c>
      <c r="P303">
        <v>583.99</v>
      </c>
    </row>
    <row r="304" spans="1:16" x14ac:dyDescent="0.3">
      <c r="A304" t="s">
        <v>316</v>
      </c>
      <c r="B304" s="3">
        <v>45062</v>
      </c>
      <c r="C304" s="7" t="str">
        <f t="shared" si="8"/>
        <v>2023</v>
      </c>
      <c r="D304" s="7" t="str">
        <f t="shared" si="9"/>
        <v>May</v>
      </c>
      <c r="E304" s="6" t="s">
        <v>1516</v>
      </c>
      <c r="F304" s="5" t="s">
        <v>2406</v>
      </c>
      <c r="G304">
        <v>3</v>
      </c>
      <c r="H304">
        <v>468.74</v>
      </c>
      <c r="I304" s="6" t="s">
        <v>2665</v>
      </c>
      <c r="J304" s="6" t="s">
        <v>3069</v>
      </c>
      <c r="K304" s="6" t="s">
        <v>3074</v>
      </c>
      <c r="L304" t="s">
        <v>3377</v>
      </c>
      <c r="M304">
        <v>4</v>
      </c>
      <c r="N304" t="s">
        <v>4276</v>
      </c>
      <c r="O304" t="s">
        <v>4278</v>
      </c>
      <c r="P304">
        <v>1406.22</v>
      </c>
    </row>
    <row r="305" spans="1:16" x14ac:dyDescent="0.3">
      <c r="A305" t="s">
        <v>317</v>
      </c>
      <c r="B305" s="3">
        <v>45633</v>
      </c>
      <c r="C305" s="7" t="str">
        <f t="shared" si="8"/>
        <v>2024</v>
      </c>
      <c r="D305" s="7" t="str">
        <f t="shared" si="9"/>
        <v>Dec</v>
      </c>
      <c r="E305" s="6" t="s">
        <v>1517</v>
      </c>
      <c r="F305" s="5" t="s">
        <v>2405</v>
      </c>
      <c r="G305">
        <v>1</v>
      </c>
      <c r="H305">
        <v>30.54</v>
      </c>
      <c r="I305" s="6" t="s">
        <v>2666</v>
      </c>
      <c r="J305" s="6" t="s">
        <v>3065</v>
      </c>
      <c r="K305" s="6" t="s">
        <v>3072</v>
      </c>
      <c r="L305" t="s">
        <v>3378</v>
      </c>
      <c r="M305">
        <v>1</v>
      </c>
      <c r="N305" t="s">
        <v>4285</v>
      </c>
      <c r="O305" t="s">
        <v>4282</v>
      </c>
      <c r="P305">
        <v>30.54</v>
      </c>
    </row>
    <row r="306" spans="1:16" x14ac:dyDescent="0.3">
      <c r="A306" t="s">
        <v>318</v>
      </c>
      <c r="B306" s="3">
        <v>45583</v>
      </c>
      <c r="C306" s="7" t="str">
        <f t="shared" si="8"/>
        <v>2024</v>
      </c>
      <c r="D306" s="7" t="str">
        <f t="shared" si="9"/>
        <v>Oct</v>
      </c>
      <c r="E306" s="6" t="s">
        <v>1518</v>
      </c>
      <c r="F306" s="5" t="s">
        <v>2403</v>
      </c>
      <c r="G306">
        <v>5</v>
      </c>
      <c r="H306">
        <v>408.73</v>
      </c>
      <c r="I306" s="6" t="s">
        <v>2667</v>
      </c>
      <c r="J306" s="6" t="s">
        <v>3068</v>
      </c>
      <c r="K306" s="6" t="s">
        <v>3073</v>
      </c>
      <c r="L306" t="s">
        <v>3379</v>
      </c>
      <c r="M306">
        <v>10</v>
      </c>
      <c r="N306" t="s">
        <v>4276</v>
      </c>
      <c r="O306" t="s">
        <v>4278</v>
      </c>
      <c r="P306">
        <v>2043.65</v>
      </c>
    </row>
    <row r="307" spans="1:16" x14ac:dyDescent="0.3">
      <c r="A307" t="s">
        <v>319</v>
      </c>
      <c r="B307" s="3">
        <v>45255</v>
      </c>
      <c r="C307" s="7" t="str">
        <f t="shared" si="8"/>
        <v>2023</v>
      </c>
      <c r="D307" s="7" t="str">
        <f t="shared" si="9"/>
        <v>Nov</v>
      </c>
      <c r="E307" s="6" t="s">
        <v>1519</v>
      </c>
      <c r="F307" s="5" t="s">
        <v>2408</v>
      </c>
      <c r="G307">
        <v>4</v>
      </c>
      <c r="H307">
        <v>126.89</v>
      </c>
      <c r="I307" s="6" t="s">
        <v>2668</v>
      </c>
      <c r="J307" s="6" t="s">
        <v>3069</v>
      </c>
      <c r="K307" s="6" t="s">
        <v>3074</v>
      </c>
      <c r="L307" t="s">
        <v>3380</v>
      </c>
      <c r="M307">
        <v>9</v>
      </c>
      <c r="N307" t="s">
        <v>4276</v>
      </c>
      <c r="O307" t="s">
        <v>4278</v>
      </c>
      <c r="P307">
        <v>507.56</v>
      </c>
    </row>
    <row r="308" spans="1:16" x14ac:dyDescent="0.3">
      <c r="A308" t="s">
        <v>320</v>
      </c>
      <c r="B308" s="3">
        <v>45450</v>
      </c>
      <c r="C308" s="7" t="str">
        <f t="shared" si="8"/>
        <v>2024</v>
      </c>
      <c r="D308" s="7" t="str">
        <f t="shared" si="9"/>
        <v>Jun</v>
      </c>
      <c r="E308" s="6" t="s">
        <v>1520</v>
      </c>
      <c r="F308" s="5" t="s">
        <v>2407</v>
      </c>
      <c r="G308">
        <v>2</v>
      </c>
      <c r="H308">
        <v>57.07</v>
      </c>
      <c r="I308" s="6" t="s">
        <v>2669</v>
      </c>
      <c r="J308" s="6" t="s">
        <v>3065</v>
      </c>
      <c r="K308" s="6" t="s">
        <v>3072</v>
      </c>
      <c r="L308" t="s">
        <v>3381</v>
      </c>
      <c r="M308">
        <v>3</v>
      </c>
      <c r="N308" t="s">
        <v>4275</v>
      </c>
      <c r="O308" t="s">
        <v>4278</v>
      </c>
      <c r="P308">
        <v>114.14</v>
      </c>
    </row>
    <row r="309" spans="1:16" x14ac:dyDescent="0.3">
      <c r="A309" t="s">
        <v>321</v>
      </c>
      <c r="B309" s="3">
        <v>45108</v>
      </c>
      <c r="C309" s="7" t="str">
        <f t="shared" si="8"/>
        <v>2023</v>
      </c>
      <c r="D309" s="7" t="str">
        <f t="shared" si="9"/>
        <v>Jul</v>
      </c>
      <c r="E309" s="6" t="s">
        <v>1521</v>
      </c>
      <c r="F309" s="5" t="s">
        <v>2408</v>
      </c>
      <c r="G309">
        <v>3</v>
      </c>
      <c r="H309">
        <v>557.41</v>
      </c>
      <c r="I309" s="6" t="s">
        <v>2670</v>
      </c>
      <c r="J309" s="6" t="s">
        <v>3066</v>
      </c>
      <c r="K309" s="6" t="s">
        <v>3073</v>
      </c>
      <c r="L309" t="s">
        <v>3382</v>
      </c>
      <c r="M309">
        <v>4</v>
      </c>
      <c r="N309" t="s">
        <v>4285</v>
      </c>
      <c r="O309" t="s">
        <v>4280</v>
      </c>
      <c r="P309">
        <v>1672.23</v>
      </c>
    </row>
    <row r="310" spans="1:16" x14ac:dyDescent="0.3">
      <c r="A310" t="s">
        <v>322</v>
      </c>
      <c r="B310" s="3">
        <v>45271</v>
      </c>
      <c r="C310" s="7" t="str">
        <f t="shared" si="8"/>
        <v>2023</v>
      </c>
      <c r="D310" s="7" t="str">
        <f t="shared" si="9"/>
        <v>Dec</v>
      </c>
      <c r="E310" s="6" t="s">
        <v>1522</v>
      </c>
      <c r="F310" s="5" t="s">
        <v>2407</v>
      </c>
      <c r="G310">
        <v>3</v>
      </c>
      <c r="H310">
        <v>448.9</v>
      </c>
      <c r="I310" s="6" t="s">
        <v>2566</v>
      </c>
      <c r="J310" s="6" t="s">
        <v>3065</v>
      </c>
      <c r="K310" s="6" t="s">
        <v>3072</v>
      </c>
      <c r="L310" t="s">
        <v>3383</v>
      </c>
      <c r="M310">
        <v>7</v>
      </c>
      <c r="N310" t="s">
        <v>4275</v>
      </c>
      <c r="O310" t="s">
        <v>4278</v>
      </c>
      <c r="P310">
        <v>1346.7</v>
      </c>
    </row>
    <row r="311" spans="1:16" x14ac:dyDescent="0.3">
      <c r="A311" t="s">
        <v>323</v>
      </c>
      <c r="B311" s="3">
        <v>45202</v>
      </c>
      <c r="C311" s="7" t="str">
        <f t="shared" si="8"/>
        <v>2023</v>
      </c>
      <c r="D311" s="7" t="str">
        <f t="shared" si="9"/>
        <v>Oct</v>
      </c>
      <c r="E311" s="6" t="s">
        <v>1523</v>
      </c>
      <c r="F311" s="5" t="s">
        <v>2406</v>
      </c>
      <c r="G311">
        <v>4</v>
      </c>
      <c r="H311">
        <v>549.76</v>
      </c>
      <c r="I311" s="6" t="s">
        <v>2671</v>
      </c>
      <c r="J311" s="6" t="s">
        <v>3065</v>
      </c>
      <c r="K311" s="6" t="s">
        <v>3073</v>
      </c>
      <c r="L311" t="s">
        <v>3384</v>
      </c>
      <c r="M311">
        <v>4</v>
      </c>
      <c r="N311" t="s">
        <v>4276</v>
      </c>
      <c r="O311" t="s">
        <v>4281</v>
      </c>
      <c r="P311">
        <v>2199.04</v>
      </c>
    </row>
    <row r="312" spans="1:16" x14ac:dyDescent="0.3">
      <c r="A312" t="s">
        <v>324</v>
      </c>
      <c r="B312" s="3">
        <v>45346</v>
      </c>
      <c r="C312" s="7" t="str">
        <f t="shared" si="8"/>
        <v>2024</v>
      </c>
      <c r="D312" s="7" t="str">
        <f t="shared" si="9"/>
        <v>Feb</v>
      </c>
      <c r="E312" s="6" t="s">
        <v>1524</v>
      </c>
      <c r="F312" s="5" t="s">
        <v>2407</v>
      </c>
      <c r="G312">
        <v>3</v>
      </c>
      <c r="H312">
        <v>132.47999999999999</v>
      </c>
      <c r="I312" s="6" t="s">
        <v>2672</v>
      </c>
      <c r="J312" s="6" t="s">
        <v>3066</v>
      </c>
      <c r="K312" s="6" t="s">
        <v>3070</v>
      </c>
      <c r="L312" t="s">
        <v>3385</v>
      </c>
      <c r="M312">
        <v>4</v>
      </c>
      <c r="N312" t="s">
        <v>4285</v>
      </c>
      <c r="O312" t="s">
        <v>4279</v>
      </c>
      <c r="P312">
        <v>397.43999999999988</v>
      </c>
    </row>
    <row r="313" spans="1:16" x14ac:dyDescent="0.3">
      <c r="A313" t="s">
        <v>325</v>
      </c>
      <c r="B313" s="3">
        <v>45794</v>
      </c>
      <c r="C313" s="7" t="str">
        <f t="shared" si="8"/>
        <v>2025</v>
      </c>
      <c r="D313" s="7" t="str">
        <f t="shared" si="9"/>
        <v>May</v>
      </c>
      <c r="E313" s="6" t="s">
        <v>1525</v>
      </c>
      <c r="F313" s="5" t="s">
        <v>2409</v>
      </c>
      <c r="G313">
        <v>5</v>
      </c>
      <c r="H313">
        <v>489.37</v>
      </c>
      <c r="I313" s="6" t="s">
        <v>2673</v>
      </c>
      <c r="J313" s="6" t="s">
        <v>3066</v>
      </c>
      <c r="K313" s="6" t="s">
        <v>3072</v>
      </c>
      <c r="L313" t="s">
        <v>3386</v>
      </c>
      <c r="M313">
        <v>8</v>
      </c>
      <c r="N313" t="s">
        <v>4285</v>
      </c>
      <c r="O313" t="s">
        <v>4278</v>
      </c>
      <c r="P313">
        <v>2446.85</v>
      </c>
    </row>
    <row r="314" spans="1:16" x14ac:dyDescent="0.3">
      <c r="A314" t="s">
        <v>326</v>
      </c>
      <c r="B314" s="3">
        <v>45801</v>
      </c>
      <c r="C314" s="7" t="str">
        <f t="shared" si="8"/>
        <v>2025</v>
      </c>
      <c r="D314" s="7" t="str">
        <f t="shared" si="9"/>
        <v>May</v>
      </c>
      <c r="E314" s="6" t="s">
        <v>1526</v>
      </c>
      <c r="F314" s="5" t="s">
        <v>2407</v>
      </c>
      <c r="G314">
        <v>5</v>
      </c>
      <c r="H314">
        <v>66.31</v>
      </c>
      <c r="I314" s="6" t="s">
        <v>2606</v>
      </c>
      <c r="J314" s="6" t="s">
        <v>3068</v>
      </c>
      <c r="K314" s="6" t="s">
        <v>3074</v>
      </c>
      <c r="L314" t="s">
        <v>3387</v>
      </c>
      <c r="M314">
        <v>7</v>
      </c>
      <c r="N314" t="s">
        <v>4276</v>
      </c>
      <c r="O314" t="s">
        <v>4279</v>
      </c>
      <c r="P314">
        <v>331.55</v>
      </c>
    </row>
    <row r="315" spans="1:16" x14ac:dyDescent="0.3">
      <c r="A315" t="s">
        <v>327</v>
      </c>
      <c r="B315" s="3">
        <v>45116</v>
      </c>
      <c r="C315" s="7" t="str">
        <f t="shared" si="8"/>
        <v>2023</v>
      </c>
      <c r="D315" s="7" t="str">
        <f t="shared" si="9"/>
        <v>Jul</v>
      </c>
      <c r="E315" s="6" t="s">
        <v>1527</v>
      </c>
      <c r="F315" s="5" t="s">
        <v>2406</v>
      </c>
      <c r="G315">
        <v>2</v>
      </c>
      <c r="H315">
        <v>434.3</v>
      </c>
      <c r="I315" s="6" t="s">
        <v>2674</v>
      </c>
      <c r="J315" s="6" t="s">
        <v>3069</v>
      </c>
      <c r="K315" s="6" t="s">
        <v>3073</v>
      </c>
      <c r="L315" t="s">
        <v>3388</v>
      </c>
      <c r="M315">
        <v>7</v>
      </c>
      <c r="N315" t="s">
        <v>4275</v>
      </c>
      <c r="O315" t="s">
        <v>4278</v>
      </c>
      <c r="P315">
        <v>868.6</v>
      </c>
    </row>
    <row r="316" spans="1:16" x14ac:dyDescent="0.3">
      <c r="A316" t="s">
        <v>328</v>
      </c>
      <c r="B316" s="3">
        <v>45203</v>
      </c>
      <c r="C316" s="7" t="str">
        <f t="shared" si="8"/>
        <v>2023</v>
      </c>
      <c r="D316" s="7" t="str">
        <f t="shared" si="9"/>
        <v>Oct</v>
      </c>
      <c r="E316" s="6" t="s">
        <v>1528</v>
      </c>
      <c r="F316" s="5" t="s">
        <v>2409</v>
      </c>
      <c r="G316">
        <v>4</v>
      </c>
      <c r="H316">
        <v>153.09</v>
      </c>
      <c r="I316" s="6" t="s">
        <v>2675</v>
      </c>
      <c r="J316" s="6" t="s">
        <v>3066</v>
      </c>
      <c r="K316" s="6" t="s">
        <v>3073</v>
      </c>
      <c r="L316" t="s">
        <v>3389</v>
      </c>
      <c r="M316">
        <v>4</v>
      </c>
      <c r="N316" t="s">
        <v>4276</v>
      </c>
      <c r="O316" t="s">
        <v>4279</v>
      </c>
      <c r="P316">
        <v>612.36</v>
      </c>
    </row>
    <row r="317" spans="1:16" x14ac:dyDescent="0.3">
      <c r="A317" t="s">
        <v>329</v>
      </c>
      <c r="B317" s="3">
        <v>45789</v>
      </c>
      <c r="C317" s="7" t="str">
        <f t="shared" si="8"/>
        <v>2025</v>
      </c>
      <c r="D317" s="7" t="str">
        <f t="shared" si="9"/>
        <v>May</v>
      </c>
      <c r="E317" s="6" t="s">
        <v>1529</v>
      </c>
      <c r="F317" s="5" t="s">
        <v>2405</v>
      </c>
      <c r="G317">
        <v>5</v>
      </c>
      <c r="H317">
        <v>91.67</v>
      </c>
      <c r="I317" s="6" t="s">
        <v>2676</v>
      </c>
      <c r="J317" s="6" t="s">
        <v>3066</v>
      </c>
      <c r="K317" s="6" t="s">
        <v>3071</v>
      </c>
      <c r="L317" t="s">
        <v>3390</v>
      </c>
      <c r="M317">
        <v>9</v>
      </c>
      <c r="N317" t="s">
        <v>4276</v>
      </c>
      <c r="O317" t="s">
        <v>4280</v>
      </c>
      <c r="P317">
        <v>458.35</v>
      </c>
    </row>
    <row r="318" spans="1:16" x14ac:dyDescent="0.3">
      <c r="A318" t="s">
        <v>330</v>
      </c>
      <c r="B318" s="3">
        <v>45201</v>
      </c>
      <c r="C318" s="7" t="str">
        <f t="shared" si="8"/>
        <v>2023</v>
      </c>
      <c r="D318" s="7" t="str">
        <f t="shared" si="9"/>
        <v>Oct</v>
      </c>
      <c r="E318" s="6" t="s">
        <v>1530</v>
      </c>
      <c r="F318" s="5" t="s">
        <v>2409</v>
      </c>
      <c r="G318">
        <v>4</v>
      </c>
      <c r="H318">
        <v>275.27999999999997</v>
      </c>
      <c r="I318" s="6" t="s">
        <v>2677</v>
      </c>
      <c r="J318" s="6" t="s">
        <v>3068</v>
      </c>
      <c r="K318" s="6" t="s">
        <v>3070</v>
      </c>
      <c r="L318" t="s">
        <v>3391</v>
      </c>
      <c r="M318">
        <v>9</v>
      </c>
      <c r="N318" t="s">
        <v>4277</v>
      </c>
      <c r="O318" t="s">
        <v>4281</v>
      </c>
      <c r="P318">
        <v>1101.1199999999999</v>
      </c>
    </row>
    <row r="319" spans="1:16" x14ac:dyDescent="0.3">
      <c r="A319" t="s">
        <v>331</v>
      </c>
      <c r="B319" s="3">
        <v>45026</v>
      </c>
      <c r="C319" s="7" t="str">
        <f t="shared" si="8"/>
        <v>2023</v>
      </c>
      <c r="D319" s="7" t="str">
        <f t="shared" si="9"/>
        <v>Apr</v>
      </c>
      <c r="E319" s="6" t="s">
        <v>1531</v>
      </c>
      <c r="F319" s="5" t="s">
        <v>2403</v>
      </c>
      <c r="G319">
        <v>2</v>
      </c>
      <c r="H319">
        <v>139.94999999999999</v>
      </c>
      <c r="I319" s="6" t="s">
        <v>2678</v>
      </c>
      <c r="J319" s="6" t="s">
        <v>3066</v>
      </c>
      <c r="K319" s="6" t="s">
        <v>3072</v>
      </c>
      <c r="L319" t="s">
        <v>3392</v>
      </c>
      <c r="M319">
        <v>5</v>
      </c>
      <c r="N319" t="s">
        <v>4285</v>
      </c>
      <c r="O319" t="s">
        <v>4278</v>
      </c>
      <c r="P319">
        <v>279.89999999999998</v>
      </c>
    </row>
    <row r="320" spans="1:16" x14ac:dyDescent="0.3">
      <c r="A320" t="s">
        <v>332</v>
      </c>
      <c r="B320" s="3">
        <v>45500</v>
      </c>
      <c r="C320" s="7" t="str">
        <f t="shared" si="8"/>
        <v>2024</v>
      </c>
      <c r="D320" s="7" t="str">
        <f t="shared" si="9"/>
        <v>Jul</v>
      </c>
      <c r="E320" s="6" t="s">
        <v>1532</v>
      </c>
      <c r="F320" s="5" t="s">
        <v>2406</v>
      </c>
      <c r="G320">
        <v>3</v>
      </c>
      <c r="H320">
        <v>148.72</v>
      </c>
      <c r="I320" s="6" t="s">
        <v>2596</v>
      </c>
      <c r="J320" s="6" t="s">
        <v>3065</v>
      </c>
      <c r="K320" s="6" t="s">
        <v>3071</v>
      </c>
      <c r="L320" t="s">
        <v>3393</v>
      </c>
      <c r="M320">
        <v>7</v>
      </c>
      <c r="N320" t="s">
        <v>4275</v>
      </c>
      <c r="O320" t="s">
        <v>4282</v>
      </c>
      <c r="P320">
        <v>446.16</v>
      </c>
    </row>
    <row r="321" spans="1:16" x14ac:dyDescent="0.3">
      <c r="A321" t="s">
        <v>333</v>
      </c>
      <c r="B321" s="3">
        <v>45262</v>
      </c>
      <c r="C321" s="7" t="str">
        <f t="shared" si="8"/>
        <v>2023</v>
      </c>
      <c r="D321" s="7" t="str">
        <f t="shared" si="9"/>
        <v>Dec</v>
      </c>
      <c r="E321" s="6" t="s">
        <v>1533</v>
      </c>
      <c r="F321" s="5" t="s">
        <v>2408</v>
      </c>
      <c r="G321">
        <v>2</v>
      </c>
      <c r="H321">
        <v>563.05999999999995</v>
      </c>
      <c r="I321" s="6" t="s">
        <v>2679</v>
      </c>
      <c r="J321" s="6" t="s">
        <v>3069</v>
      </c>
      <c r="K321" s="6" t="s">
        <v>3072</v>
      </c>
      <c r="L321" t="s">
        <v>3394</v>
      </c>
      <c r="M321">
        <v>6</v>
      </c>
      <c r="N321" t="s">
        <v>4285</v>
      </c>
      <c r="O321" t="s">
        <v>4278</v>
      </c>
      <c r="P321">
        <v>1126.1199999999999</v>
      </c>
    </row>
    <row r="322" spans="1:16" x14ac:dyDescent="0.3">
      <c r="A322" t="s">
        <v>334</v>
      </c>
      <c r="B322" s="3">
        <v>45645</v>
      </c>
      <c r="C322" s="7" t="str">
        <f t="shared" ref="C322:C385" si="10">TEXT(B322, "yyyy")</f>
        <v>2024</v>
      </c>
      <c r="D322" s="7" t="str">
        <f t="shared" ref="D322:D385" si="11">TEXT(B322, "MMM")</f>
        <v>Dec</v>
      </c>
      <c r="E322" s="6" t="s">
        <v>1534</v>
      </c>
      <c r="F322" s="5" t="s">
        <v>2407</v>
      </c>
      <c r="G322">
        <v>1</v>
      </c>
      <c r="H322">
        <v>625.51</v>
      </c>
      <c r="I322" s="6" t="s">
        <v>2680</v>
      </c>
      <c r="J322" s="6" t="s">
        <v>3067</v>
      </c>
      <c r="K322" s="6" t="s">
        <v>3070</v>
      </c>
      <c r="L322" t="s">
        <v>3395</v>
      </c>
      <c r="M322">
        <v>1</v>
      </c>
      <c r="N322" t="s">
        <v>4276</v>
      </c>
      <c r="O322" t="s">
        <v>4281</v>
      </c>
      <c r="P322">
        <v>625.51</v>
      </c>
    </row>
    <row r="323" spans="1:16" x14ac:dyDescent="0.3">
      <c r="A323" t="s">
        <v>335</v>
      </c>
      <c r="B323" s="3">
        <v>45147</v>
      </c>
      <c r="C323" s="7" t="str">
        <f t="shared" si="10"/>
        <v>2023</v>
      </c>
      <c r="D323" s="7" t="str">
        <f t="shared" si="11"/>
        <v>Aug</v>
      </c>
      <c r="E323" s="6" t="s">
        <v>1535</v>
      </c>
      <c r="F323" s="5" t="s">
        <v>2404</v>
      </c>
      <c r="G323">
        <v>4</v>
      </c>
      <c r="H323">
        <v>152.29</v>
      </c>
      <c r="I323" s="6" t="s">
        <v>2670</v>
      </c>
      <c r="J323" s="6" t="s">
        <v>3065</v>
      </c>
      <c r="K323" s="6" t="s">
        <v>3071</v>
      </c>
      <c r="L323" t="s">
        <v>3396</v>
      </c>
      <c r="M323">
        <v>6</v>
      </c>
      <c r="N323" t="s">
        <v>4277</v>
      </c>
      <c r="O323" t="s">
        <v>4282</v>
      </c>
      <c r="P323">
        <v>609.16</v>
      </c>
    </row>
    <row r="324" spans="1:16" x14ac:dyDescent="0.3">
      <c r="A324" t="s">
        <v>336</v>
      </c>
      <c r="B324" s="3">
        <v>45457</v>
      </c>
      <c r="C324" s="7" t="str">
        <f t="shared" si="10"/>
        <v>2024</v>
      </c>
      <c r="D324" s="7" t="str">
        <f t="shared" si="11"/>
        <v>Jun</v>
      </c>
      <c r="E324" s="6" t="s">
        <v>1536</v>
      </c>
      <c r="F324" s="5" t="s">
        <v>2404</v>
      </c>
      <c r="G324">
        <v>5</v>
      </c>
      <c r="H324">
        <v>231.82</v>
      </c>
      <c r="I324" s="6" t="s">
        <v>2678</v>
      </c>
      <c r="J324" s="6" t="s">
        <v>3065</v>
      </c>
      <c r="K324" s="6" t="s">
        <v>3073</v>
      </c>
      <c r="L324" t="s">
        <v>3397</v>
      </c>
      <c r="M324">
        <v>6</v>
      </c>
      <c r="N324" t="s">
        <v>4275</v>
      </c>
      <c r="O324" t="s">
        <v>4281</v>
      </c>
      <c r="P324">
        <v>1159.0999999999999</v>
      </c>
    </row>
    <row r="325" spans="1:16" x14ac:dyDescent="0.3">
      <c r="A325" t="s">
        <v>337</v>
      </c>
      <c r="B325" s="3">
        <v>45683</v>
      </c>
      <c r="C325" s="7" t="str">
        <f t="shared" si="10"/>
        <v>2025</v>
      </c>
      <c r="D325" s="7" t="str">
        <f t="shared" si="11"/>
        <v>Jan</v>
      </c>
      <c r="E325" s="6" t="s">
        <v>1537</v>
      </c>
      <c r="F325" s="5" t="s">
        <v>2408</v>
      </c>
      <c r="G325">
        <v>1</v>
      </c>
      <c r="H325">
        <v>150.16999999999999</v>
      </c>
      <c r="I325" s="6" t="s">
        <v>2681</v>
      </c>
      <c r="J325" s="6" t="s">
        <v>3065</v>
      </c>
      <c r="K325" s="6" t="s">
        <v>3072</v>
      </c>
      <c r="L325" t="s">
        <v>3398</v>
      </c>
      <c r="M325">
        <v>1</v>
      </c>
      <c r="N325" t="s">
        <v>4275</v>
      </c>
      <c r="O325" t="s">
        <v>4279</v>
      </c>
      <c r="P325">
        <v>150.16999999999999</v>
      </c>
    </row>
    <row r="326" spans="1:16" x14ac:dyDescent="0.3">
      <c r="A326" t="s">
        <v>338</v>
      </c>
      <c r="B326" s="3">
        <v>45456</v>
      </c>
      <c r="C326" s="7" t="str">
        <f t="shared" si="10"/>
        <v>2024</v>
      </c>
      <c r="D326" s="7" t="str">
        <f t="shared" si="11"/>
        <v>Jun</v>
      </c>
      <c r="E326" s="6" t="s">
        <v>1538</v>
      </c>
      <c r="F326" s="5" t="s">
        <v>2405</v>
      </c>
      <c r="G326">
        <v>3</v>
      </c>
      <c r="H326">
        <v>70.930000000000007</v>
      </c>
      <c r="I326" s="6" t="s">
        <v>2682</v>
      </c>
      <c r="J326" s="6" t="s">
        <v>3065</v>
      </c>
      <c r="K326" s="6" t="s">
        <v>3072</v>
      </c>
      <c r="L326" t="s">
        <v>3399</v>
      </c>
      <c r="M326">
        <v>5</v>
      </c>
      <c r="N326" t="s">
        <v>4285</v>
      </c>
      <c r="O326" t="s">
        <v>4279</v>
      </c>
      <c r="P326">
        <v>212.79</v>
      </c>
    </row>
    <row r="327" spans="1:16" x14ac:dyDescent="0.3">
      <c r="A327" t="s">
        <v>339</v>
      </c>
      <c r="B327" s="3">
        <v>45106</v>
      </c>
      <c r="C327" s="7" t="str">
        <f t="shared" si="10"/>
        <v>2023</v>
      </c>
      <c r="D327" s="7" t="str">
        <f t="shared" si="11"/>
        <v>Jun</v>
      </c>
      <c r="E327" s="6" t="s">
        <v>1539</v>
      </c>
      <c r="F327" s="5" t="s">
        <v>2409</v>
      </c>
      <c r="G327">
        <v>3</v>
      </c>
      <c r="H327">
        <v>361.39</v>
      </c>
      <c r="I327" s="6" t="s">
        <v>2683</v>
      </c>
      <c r="J327" s="6" t="s">
        <v>3067</v>
      </c>
      <c r="K327" s="6" t="s">
        <v>3070</v>
      </c>
      <c r="L327" t="s">
        <v>3400</v>
      </c>
      <c r="M327">
        <v>8</v>
      </c>
      <c r="N327" t="s">
        <v>4285</v>
      </c>
      <c r="O327" t="s">
        <v>4279</v>
      </c>
      <c r="P327">
        <v>1084.17</v>
      </c>
    </row>
    <row r="328" spans="1:16" x14ac:dyDescent="0.3">
      <c r="A328" t="s">
        <v>340</v>
      </c>
      <c r="B328" s="3">
        <v>45474</v>
      </c>
      <c r="C328" s="7" t="str">
        <f t="shared" si="10"/>
        <v>2024</v>
      </c>
      <c r="D328" s="7" t="str">
        <f t="shared" si="11"/>
        <v>Jul</v>
      </c>
      <c r="E328" s="6" t="s">
        <v>1540</v>
      </c>
      <c r="F328" s="5" t="s">
        <v>2408</v>
      </c>
      <c r="G328">
        <v>5</v>
      </c>
      <c r="H328">
        <v>670.48</v>
      </c>
      <c r="I328" s="6" t="s">
        <v>2429</v>
      </c>
      <c r="J328" s="6" t="s">
        <v>3068</v>
      </c>
      <c r="K328" s="6" t="s">
        <v>3072</v>
      </c>
      <c r="L328" t="s">
        <v>3401</v>
      </c>
      <c r="M328">
        <v>5</v>
      </c>
      <c r="N328" t="s">
        <v>4275</v>
      </c>
      <c r="O328" t="s">
        <v>4281</v>
      </c>
      <c r="P328">
        <v>3352.4</v>
      </c>
    </row>
    <row r="329" spans="1:16" x14ac:dyDescent="0.3">
      <c r="A329" t="s">
        <v>341</v>
      </c>
      <c r="B329" s="3">
        <v>45132</v>
      </c>
      <c r="C329" s="7" t="str">
        <f t="shared" si="10"/>
        <v>2023</v>
      </c>
      <c r="D329" s="7" t="str">
        <f t="shared" si="11"/>
        <v>Jul</v>
      </c>
      <c r="E329" s="6" t="s">
        <v>1541</v>
      </c>
      <c r="F329" s="5" t="s">
        <v>2404</v>
      </c>
      <c r="G329">
        <v>1</v>
      </c>
      <c r="H329">
        <v>359.99</v>
      </c>
      <c r="I329" s="6" t="s">
        <v>2471</v>
      </c>
      <c r="J329" s="6" t="s">
        <v>3068</v>
      </c>
      <c r="K329" s="6" t="s">
        <v>3071</v>
      </c>
      <c r="L329" t="s">
        <v>3402</v>
      </c>
      <c r="M329">
        <v>5</v>
      </c>
      <c r="N329" t="s">
        <v>4275</v>
      </c>
      <c r="O329" t="s">
        <v>4280</v>
      </c>
      <c r="P329">
        <v>359.99</v>
      </c>
    </row>
    <row r="330" spans="1:16" x14ac:dyDescent="0.3">
      <c r="A330" t="s">
        <v>342</v>
      </c>
      <c r="B330" s="3">
        <v>44985</v>
      </c>
      <c r="C330" s="7" t="str">
        <f t="shared" si="10"/>
        <v>2023</v>
      </c>
      <c r="D330" s="7" t="str">
        <f t="shared" si="11"/>
        <v>Feb</v>
      </c>
      <c r="E330" s="6" t="s">
        <v>1542</v>
      </c>
      <c r="F330" s="5" t="s">
        <v>2405</v>
      </c>
      <c r="G330">
        <v>5</v>
      </c>
      <c r="H330">
        <v>674.04</v>
      </c>
      <c r="I330" s="6" t="s">
        <v>2684</v>
      </c>
      <c r="J330" s="6" t="s">
        <v>3066</v>
      </c>
      <c r="K330" s="6" t="s">
        <v>3071</v>
      </c>
      <c r="L330" t="s">
        <v>3403</v>
      </c>
      <c r="M330">
        <v>7</v>
      </c>
      <c r="N330" t="s">
        <v>4275</v>
      </c>
      <c r="O330" t="s">
        <v>4282</v>
      </c>
      <c r="P330">
        <v>3370.2</v>
      </c>
    </row>
    <row r="331" spans="1:16" x14ac:dyDescent="0.3">
      <c r="A331" t="s">
        <v>343</v>
      </c>
      <c r="B331" s="3">
        <v>45651</v>
      </c>
      <c r="C331" s="7" t="str">
        <f t="shared" si="10"/>
        <v>2024</v>
      </c>
      <c r="D331" s="7" t="str">
        <f t="shared" si="11"/>
        <v>Dec</v>
      </c>
      <c r="E331" s="6" t="s">
        <v>1543</v>
      </c>
      <c r="F331" s="5" t="s">
        <v>2406</v>
      </c>
      <c r="G331">
        <v>4</v>
      </c>
      <c r="H331">
        <v>283.16000000000003</v>
      </c>
      <c r="I331" s="6" t="s">
        <v>2622</v>
      </c>
      <c r="J331" s="6" t="s">
        <v>3067</v>
      </c>
      <c r="K331" s="6" t="s">
        <v>3070</v>
      </c>
      <c r="L331" t="s">
        <v>3404</v>
      </c>
      <c r="M331">
        <v>6</v>
      </c>
      <c r="N331" t="s">
        <v>4285</v>
      </c>
      <c r="O331" t="s">
        <v>4282</v>
      </c>
      <c r="P331">
        <v>1132.6400000000001</v>
      </c>
    </row>
    <row r="332" spans="1:16" x14ac:dyDescent="0.3">
      <c r="A332" t="s">
        <v>344</v>
      </c>
      <c r="B332" s="3">
        <v>45445</v>
      </c>
      <c r="C332" s="7" t="str">
        <f t="shared" si="10"/>
        <v>2024</v>
      </c>
      <c r="D332" s="7" t="str">
        <f t="shared" si="11"/>
        <v>Jun</v>
      </c>
      <c r="E332" s="6" t="s">
        <v>1544</v>
      </c>
      <c r="F332" s="5" t="s">
        <v>2409</v>
      </c>
      <c r="G332">
        <v>5</v>
      </c>
      <c r="H332">
        <v>260.52999999999997</v>
      </c>
      <c r="I332" s="6" t="s">
        <v>2685</v>
      </c>
      <c r="J332" s="6" t="s">
        <v>3068</v>
      </c>
      <c r="K332" s="6" t="s">
        <v>3074</v>
      </c>
      <c r="L332" t="s">
        <v>3405</v>
      </c>
      <c r="M332">
        <v>5</v>
      </c>
      <c r="N332" t="s">
        <v>4275</v>
      </c>
      <c r="O332" t="s">
        <v>4278</v>
      </c>
      <c r="P332">
        <v>1302.6500000000001</v>
      </c>
    </row>
    <row r="333" spans="1:16" x14ac:dyDescent="0.3">
      <c r="A333" t="s">
        <v>345</v>
      </c>
      <c r="B333" s="3">
        <v>45031</v>
      </c>
      <c r="C333" s="7" t="str">
        <f t="shared" si="10"/>
        <v>2023</v>
      </c>
      <c r="D333" s="7" t="str">
        <f t="shared" si="11"/>
        <v>Apr</v>
      </c>
      <c r="E333" s="6" t="s">
        <v>1545</v>
      </c>
      <c r="F333" s="5" t="s">
        <v>2407</v>
      </c>
      <c r="G333">
        <v>3</v>
      </c>
      <c r="H333">
        <v>422.13</v>
      </c>
      <c r="I333" s="6" t="s">
        <v>2522</v>
      </c>
      <c r="J333" s="6" t="s">
        <v>3066</v>
      </c>
      <c r="K333" s="6" t="s">
        <v>3073</v>
      </c>
      <c r="L333" t="s">
        <v>3406</v>
      </c>
      <c r="M333">
        <v>7</v>
      </c>
      <c r="N333" t="s">
        <v>4275</v>
      </c>
      <c r="O333" t="s">
        <v>4281</v>
      </c>
      <c r="P333">
        <v>1266.3900000000001</v>
      </c>
    </row>
    <row r="334" spans="1:16" x14ac:dyDescent="0.3">
      <c r="A334" t="s">
        <v>346</v>
      </c>
      <c r="B334" s="3">
        <v>45476</v>
      </c>
      <c r="C334" s="7" t="str">
        <f t="shared" si="10"/>
        <v>2024</v>
      </c>
      <c r="D334" s="7" t="str">
        <f t="shared" si="11"/>
        <v>Jul</v>
      </c>
      <c r="E334" s="6" t="s">
        <v>1546</v>
      </c>
      <c r="F334" s="5" t="s">
        <v>2409</v>
      </c>
      <c r="G334">
        <v>5</v>
      </c>
      <c r="H334">
        <v>125.02</v>
      </c>
      <c r="I334" s="6" t="s">
        <v>2686</v>
      </c>
      <c r="J334" s="6" t="s">
        <v>3065</v>
      </c>
      <c r="K334" s="6" t="s">
        <v>3074</v>
      </c>
      <c r="L334" t="s">
        <v>3407</v>
      </c>
      <c r="M334">
        <v>9</v>
      </c>
      <c r="N334" t="s">
        <v>4275</v>
      </c>
      <c r="O334" t="s">
        <v>4282</v>
      </c>
      <c r="P334">
        <v>625.1</v>
      </c>
    </row>
    <row r="335" spans="1:16" x14ac:dyDescent="0.3">
      <c r="A335" t="s">
        <v>347</v>
      </c>
      <c r="B335" s="3">
        <v>45398</v>
      </c>
      <c r="C335" s="7" t="str">
        <f t="shared" si="10"/>
        <v>2024</v>
      </c>
      <c r="D335" s="7" t="str">
        <f t="shared" si="11"/>
        <v>Apr</v>
      </c>
      <c r="E335" s="6" t="s">
        <v>1547</v>
      </c>
      <c r="F335" s="5" t="s">
        <v>2404</v>
      </c>
      <c r="G335">
        <v>1</v>
      </c>
      <c r="H335">
        <v>198.51</v>
      </c>
      <c r="I335" s="6" t="s">
        <v>2687</v>
      </c>
      <c r="J335" s="6" t="s">
        <v>3067</v>
      </c>
      <c r="K335" s="6" t="s">
        <v>3072</v>
      </c>
      <c r="L335" t="s">
        <v>3408</v>
      </c>
      <c r="M335">
        <v>5</v>
      </c>
      <c r="N335" t="s">
        <v>4277</v>
      </c>
      <c r="O335" t="s">
        <v>4278</v>
      </c>
      <c r="P335">
        <v>198.51</v>
      </c>
    </row>
    <row r="336" spans="1:16" x14ac:dyDescent="0.3">
      <c r="A336" t="s">
        <v>348</v>
      </c>
      <c r="B336" s="3">
        <v>45377</v>
      </c>
      <c r="C336" s="7" t="str">
        <f t="shared" si="10"/>
        <v>2024</v>
      </c>
      <c r="D336" s="7" t="str">
        <f t="shared" si="11"/>
        <v>Mar</v>
      </c>
      <c r="E336" s="6" t="s">
        <v>1548</v>
      </c>
      <c r="F336" s="5" t="s">
        <v>2406</v>
      </c>
      <c r="G336">
        <v>4</v>
      </c>
      <c r="H336">
        <v>224.75</v>
      </c>
      <c r="I336" s="6" t="s">
        <v>2688</v>
      </c>
      <c r="J336" s="6" t="s">
        <v>3066</v>
      </c>
      <c r="K336" s="6" t="s">
        <v>3073</v>
      </c>
      <c r="L336" t="s">
        <v>3409</v>
      </c>
      <c r="M336">
        <v>7</v>
      </c>
      <c r="N336" t="s">
        <v>4277</v>
      </c>
      <c r="O336" t="s">
        <v>4281</v>
      </c>
      <c r="P336">
        <v>899</v>
      </c>
    </row>
    <row r="337" spans="1:16" x14ac:dyDescent="0.3">
      <c r="A337" t="s">
        <v>349</v>
      </c>
      <c r="B337" s="3">
        <v>45719</v>
      </c>
      <c r="C337" s="7" t="str">
        <f t="shared" si="10"/>
        <v>2025</v>
      </c>
      <c r="D337" s="7" t="str">
        <f t="shared" si="11"/>
        <v>Mar</v>
      </c>
      <c r="E337" s="6" t="s">
        <v>1549</v>
      </c>
      <c r="F337" s="5" t="s">
        <v>2405</v>
      </c>
      <c r="G337">
        <v>3</v>
      </c>
      <c r="H337">
        <v>205.86</v>
      </c>
      <c r="I337" s="6" t="s">
        <v>2674</v>
      </c>
      <c r="J337" s="6" t="s">
        <v>3068</v>
      </c>
      <c r="K337" s="6" t="s">
        <v>3070</v>
      </c>
      <c r="L337" t="s">
        <v>3410</v>
      </c>
      <c r="M337">
        <v>4</v>
      </c>
      <c r="N337" t="s">
        <v>4285</v>
      </c>
      <c r="O337" t="s">
        <v>4280</v>
      </c>
      <c r="P337">
        <v>617.58000000000004</v>
      </c>
    </row>
    <row r="338" spans="1:16" x14ac:dyDescent="0.3">
      <c r="A338" t="s">
        <v>350</v>
      </c>
      <c r="B338" s="3">
        <v>45289</v>
      </c>
      <c r="C338" s="7" t="str">
        <f t="shared" si="10"/>
        <v>2023</v>
      </c>
      <c r="D338" s="7" t="str">
        <f t="shared" si="11"/>
        <v>Dec</v>
      </c>
      <c r="E338" s="6" t="s">
        <v>1550</v>
      </c>
      <c r="F338" s="5" t="s">
        <v>2408</v>
      </c>
      <c r="G338">
        <v>1</v>
      </c>
      <c r="H338">
        <v>18.2</v>
      </c>
      <c r="I338" s="6" t="s">
        <v>2689</v>
      </c>
      <c r="J338" s="6" t="s">
        <v>3065</v>
      </c>
      <c r="K338" s="6" t="s">
        <v>3074</v>
      </c>
      <c r="L338" t="s">
        <v>3411</v>
      </c>
      <c r="M338">
        <v>4</v>
      </c>
      <c r="N338" t="s">
        <v>4275</v>
      </c>
      <c r="O338" t="s">
        <v>4278</v>
      </c>
      <c r="P338">
        <v>18.2</v>
      </c>
    </row>
    <row r="339" spans="1:16" x14ac:dyDescent="0.3">
      <c r="A339" t="s">
        <v>351</v>
      </c>
      <c r="B339" s="3">
        <v>45075</v>
      </c>
      <c r="C339" s="7" t="str">
        <f t="shared" si="10"/>
        <v>2023</v>
      </c>
      <c r="D339" s="7" t="str">
        <f t="shared" si="11"/>
        <v>May</v>
      </c>
      <c r="E339" s="6" t="s">
        <v>1551</v>
      </c>
      <c r="F339" s="5" t="s">
        <v>2405</v>
      </c>
      <c r="G339">
        <v>3</v>
      </c>
      <c r="H339">
        <v>502.77</v>
      </c>
      <c r="I339" s="6" t="s">
        <v>2690</v>
      </c>
      <c r="J339" s="6" t="s">
        <v>3065</v>
      </c>
      <c r="K339" s="6" t="s">
        <v>3072</v>
      </c>
      <c r="L339" t="s">
        <v>3412</v>
      </c>
      <c r="M339">
        <v>8</v>
      </c>
      <c r="N339" t="s">
        <v>4277</v>
      </c>
      <c r="O339" t="s">
        <v>4280</v>
      </c>
      <c r="P339">
        <v>1508.31</v>
      </c>
    </row>
    <row r="340" spans="1:16" x14ac:dyDescent="0.3">
      <c r="A340" t="s">
        <v>352</v>
      </c>
      <c r="B340" s="3">
        <v>45238</v>
      </c>
      <c r="C340" s="7" t="str">
        <f t="shared" si="10"/>
        <v>2023</v>
      </c>
      <c r="D340" s="7" t="str">
        <f t="shared" si="11"/>
        <v>Nov</v>
      </c>
      <c r="E340" s="6" t="s">
        <v>1552</v>
      </c>
      <c r="F340" s="5" t="s">
        <v>2404</v>
      </c>
      <c r="G340">
        <v>5</v>
      </c>
      <c r="H340">
        <v>305.49</v>
      </c>
      <c r="I340" s="6" t="s">
        <v>2691</v>
      </c>
      <c r="J340" s="6" t="s">
        <v>3065</v>
      </c>
      <c r="K340" s="6" t="s">
        <v>3070</v>
      </c>
      <c r="L340" t="s">
        <v>3413</v>
      </c>
      <c r="M340">
        <v>10</v>
      </c>
      <c r="N340" t="s">
        <v>4285</v>
      </c>
      <c r="O340" t="s">
        <v>4279</v>
      </c>
      <c r="P340">
        <v>1527.45</v>
      </c>
    </row>
    <row r="341" spans="1:16" x14ac:dyDescent="0.3">
      <c r="A341" t="s">
        <v>353</v>
      </c>
      <c r="B341" s="3">
        <v>45392</v>
      </c>
      <c r="C341" s="7" t="str">
        <f t="shared" si="10"/>
        <v>2024</v>
      </c>
      <c r="D341" s="7" t="str">
        <f t="shared" si="11"/>
        <v>Apr</v>
      </c>
      <c r="E341" s="6" t="s">
        <v>1553</v>
      </c>
      <c r="F341" s="5" t="s">
        <v>2407</v>
      </c>
      <c r="G341">
        <v>2</v>
      </c>
      <c r="H341">
        <v>236.33</v>
      </c>
      <c r="I341" s="6" t="s">
        <v>2692</v>
      </c>
      <c r="J341" s="6" t="s">
        <v>3066</v>
      </c>
      <c r="K341" s="6" t="s">
        <v>3074</v>
      </c>
      <c r="L341" t="s">
        <v>3414</v>
      </c>
      <c r="M341">
        <v>3</v>
      </c>
      <c r="N341" t="s">
        <v>4275</v>
      </c>
      <c r="O341" t="s">
        <v>4278</v>
      </c>
      <c r="P341">
        <v>472.66</v>
      </c>
    </row>
    <row r="342" spans="1:16" x14ac:dyDescent="0.3">
      <c r="A342" t="s">
        <v>354</v>
      </c>
      <c r="B342" s="3">
        <v>45039</v>
      </c>
      <c r="C342" s="7" t="str">
        <f t="shared" si="10"/>
        <v>2023</v>
      </c>
      <c r="D342" s="7" t="str">
        <f t="shared" si="11"/>
        <v>Apr</v>
      </c>
      <c r="E342" s="6" t="s">
        <v>1554</v>
      </c>
      <c r="F342" s="5" t="s">
        <v>2408</v>
      </c>
      <c r="G342">
        <v>5</v>
      </c>
      <c r="H342">
        <v>521.25</v>
      </c>
      <c r="I342" s="6" t="s">
        <v>2693</v>
      </c>
      <c r="J342" s="6" t="s">
        <v>3069</v>
      </c>
      <c r="K342" s="6" t="s">
        <v>3071</v>
      </c>
      <c r="L342" t="s">
        <v>3415</v>
      </c>
      <c r="M342">
        <v>8</v>
      </c>
      <c r="N342" t="s">
        <v>4285</v>
      </c>
      <c r="O342" t="s">
        <v>4280</v>
      </c>
      <c r="P342">
        <v>2606.25</v>
      </c>
    </row>
    <row r="343" spans="1:16" x14ac:dyDescent="0.3">
      <c r="A343" t="s">
        <v>355</v>
      </c>
      <c r="B343" s="3">
        <v>45558</v>
      </c>
      <c r="C343" s="7" t="str">
        <f t="shared" si="10"/>
        <v>2024</v>
      </c>
      <c r="D343" s="7" t="str">
        <f t="shared" si="11"/>
        <v>Sept</v>
      </c>
      <c r="E343" s="6" t="s">
        <v>1555</v>
      </c>
      <c r="F343" s="5" t="s">
        <v>2405</v>
      </c>
      <c r="G343">
        <v>1</v>
      </c>
      <c r="H343">
        <v>167.15</v>
      </c>
      <c r="I343" s="6" t="s">
        <v>2694</v>
      </c>
      <c r="J343" s="6" t="s">
        <v>3068</v>
      </c>
      <c r="K343" s="6" t="s">
        <v>3070</v>
      </c>
      <c r="L343" t="s">
        <v>3416</v>
      </c>
      <c r="M343">
        <v>5</v>
      </c>
      <c r="N343" t="s">
        <v>4277</v>
      </c>
      <c r="O343" t="s">
        <v>4280</v>
      </c>
      <c r="P343">
        <v>167.15</v>
      </c>
    </row>
    <row r="344" spans="1:16" x14ac:dyDescent="0.3">
      <c r="A344" t="s">
        <v>356</v>
      </c>
      <c r="B344" s="3">
        <v>45832</v>
      </c>
      <c r="C344" s="7" t="str">
        <f t="shared" si="10"/>
        <v>2025</v>
      </c>
      <c r="D344" s="7" t="str">
        <f t="shared" si="11"/>
        <v>Jun</v>
      </c>
      <c r="E344" s="6" t="s">
        <v>1556</v>
      </c>
      <c r="F344" s="5" t="s">
        <v>2403</v>
      </c>
      <c r="G344">
        <v>5</v>
      </c>
      <c r="H344">
        <v>466.42</v>
      </c>
      <c r="I344" s="6" t="s">
        <v>2695</v>
      </c>
      <c r="J344" s="6" t="s">
        <v>3068</v>
      </c>
      <c r="K344" s="6" t="s">
        <v>3072</v>
      </c>
      <c r="L344" t="s">
        <v>3417</v>
      </c>
      <c r="M344">
        <v>5</v>
      </c>
      <c r="N344" t="s">
        <v>4285</v>
      </c>
      <c r="O344" t="s">
        <v>4279</v>
      </c>
      <c r="P344">
        <v>2332.1</v>
      </c>
    </row>
    <row r="345" spans="1:16" x14ac:dyDescent="0.3">
      <c r="A345" t="s">
        <v>357</v>
      </c>
      <c r="B345" s="3">
        <v>44983</v>
      </c>
      <c r="C345" s="7" t="str">
        <f t="shared" si="10"/>
        <v>2023</v>
      </c>
      <c r="D345" s="7" t="str">
        <f t="shared" si="11"/>
        <v>Feb</v>
      </c>
      <c r="E345" s="6" t="s">
        <v>1557</v>
      </c>
      <c r="F345" s="5" t="s">
        <v>2407</v>
      </c>
      <c r="G345">
        <v>1</v>
      </c>
      <c r="H345">
        <v>527.57000000000005</v>
      </c>
      <c r="I345" s="6" t="s">
        <v>2696</v>
      </c>
      <c r="J345" s="6" t="s">
        <v>3065</v>
      </c>
      <c r="K345" s="6" t="s">
        <v>3074</v>
      </c>
      <c r="L345" t="s">
        <v>3418</v>
      </c>
      <c r="M345">
        <v>3</v>
      </c>
      <c r="N345" t="s">
        <v>4276</v>
      </c>
      <c r="O345" t="s">
        <v>4281</v>
      </c>
      <c r="P345">
        <v>527.57000000000005</v>
      </c>
    </row>
    <row r="346" spans="1:16" x14ac:dyDescent="0.3">
      <c r="A346" t="s">
        <v>358</v>
      </c>
      <c r="B346" s="3">
        <v>45722</v>
      </c>
      <c r="C346" s="7" t="str">
        <f t="shared" si="10"/>
        <v>2025</v>
      </c>
      <c r="D346" s="7" t="str">
        <f t="shared" si="11"/>
        <v>Mar</v>
      </c>
      <c r="E346" s="6" t="s">
        <v>1558</v>
      </c>
      <c r="F346" s="5" t="s">
        <v>2405</v>
      </c>
      <c r="G346">
        <v>3</v>
      </c>
      <c r="H346">
        <v>623.34</v>
      </c>
      <c r="I346" s="6" t="s">
        <v>2697</v>
      </c>
      <c r="J346" s="6" t="s">
        <v>3066</v>
      </c>
      <c r="K346" s="6" t="s">
        <v>3071</v>
      </c>
      <c r="L346" t="s">
        <v>3419</v>
      </c>
      <c r="M346">
        <v>3</v>
      </c>
      <c r="N346" t="s">
        <v>4275</v>
      </c>
      <c r="O346" t="s">
        <v>4278</v>
      </c>
      <c r="P346">
        <v>1870.02</v>
      </c>
    </row>
    <row r="347" spans="1:16" x14ac:dyDescent="0.3">
      <c r="A347" t="s">
        <v>359</v>
      </c>
      <c r="B347" s="3">
        <v>45267</v>
      </c>
      <c r="C347" s="7" t="str">
        <f t="shared" si="10"/>
        <v>2023</v>
      </c>
      <c r="D347" s="7" t="str">
        <f t="shared" si="11"/>
        <v>Dec</v>
      </c>
      <c r="E347" s="6" t="s">
        <v>1559</v>
      </c>
      <c r="F347" s="5" t="s">
        <v>2405</v>
      </c>
      <c r="G347">
        <v>5</v>
      </c>
      <c r="H347">
        <v>501.26</v>
      </c>
      <c r="I347" s="6" t="s">
        <v>2698</v>
      </c>
      <c r="J347" s="6" t="s">
        <v>3068</v>
      </c>
      <c r="K347" s="6" t="s">
        <v>3070</v>
      </c>
      <c r="L347" t="s">
        <v>3420</v>
      </c>
      <c r="M347">
        <v>10</v>
      </c>
      <c r="N347" t="s">
        <v>4276</v>
      </c>
      <c r="O347" t="s">
        <v>4279</v>
      </c>
      <c r="P347">
        <v>2506.3000000000002</v>
      </c>
    </row>
    <row r="348" spans="1:16" x14ac:dyDescent="0.3">
      <c r="A348" t="s">
        <v>360</v>
      </c>
      <c r="B348" s="3">
        <v>45632</v>
      </c>
      <c r="C348" s="7" t="str">
        <f t="shared" si="10"/>
        <v>2024</v>
      </c>
      <c r="D348" s="7" t="str">
        <f t="shared" si="11"/>
        <v>Dec</v>
      </c>
      <c r="E348" s="6" t="s">
        <v>1560</v>
      </c>
      <c r="F348" s="5" t="s">
        <v>2405</v>
      </c>
      <c r="G348">
        <v>1</v>
      </c>
      <c r="H348">
        <v>655.09</v>
      </c>
      <c r="I348" s="6" t="s">
        <v>2699</v>
      </c>
      <c r="J348" s="6" t="s">
        <v>3069</v>
      </c>
      <c r="K348" s="6" t="s">
        <v>3074</v>
      </c>
      <c r="L348" t="s">
        <v>3421</v>
      </c>
      <c r="M348">
        <v>6</v>
      </c>
      <c r="N348" t="s">
        <v>4285</v>
      </c>
      <c r="O348" t="s">
        <v>4279</v>
      </c>
      <c r="P348">
        <v>655.09</v>
      </c>
    </row>
    <row r="349" spans="1:16" x14ac:dyDescent="0.3">
      <c r="A349" t="s">
        <v>361</v>
      </c>
      <c r="B349" s="3">
        <v>45325</v>
      </c>
      <c r="C349" s="7" t="str">
        <f t="shared" si="10"/>
        <v>2024</v>
      </c>
      <c r="D349" s="7" t="str">
        <f t="shared" si="11"/>
        <v>Feb</v>
      </c>
      <c r="E349" s="6" t="s">
        <v>1561</v>
      </c>
      <c r="F349" s="5" t="s">
        <v>2407</v>
      </c>
      <c r="G349">
        <v>4</v>
      </c>
      <c r="H349">
        <v>264.79000000000002</v>
      </c>
      <c r="I349" s="6" t="s">
        <v>2700</v>
      </c>
      <c r="J349" s="6" t="s">
        <v>3067</v>
      </c>
      <c r="K349" s="6" t="s">
        <v>3074</v>
      </c>
      <c r="L349" t="s">
        <v>3422</v>
      </c>
      <c r="M349">
        <v>5</v>
      </c>
      <c r="N349" t="s">
        <v>4275</v>
      </c>
      <c r="O349" t="s">
        <v>4282</v>
      </c>
      <c r="P349">
        <v>1059.1600000000001</v>
      </c>
    </row>
    <row r="350" spans="1:16" x14ac:dyDescent="0.3">
      <c r="A350" t="s">
        <v>362</v>
      </c>
      <c r="B350" s="3">
        <v>45364</v>
      </c>
      <c r="C350" s="7" t="str">
        <f t="shared" si="10"/>
        <v>2024</v>
      </c>
      <c r="D350" s="7" t="str">
        <f t="shared" si="11"/>
        <v>Mar</v>
      </c>
      <c r="E350" s="6" t="s">
        <v>1562</v>
      </c>
      <c r="F350" s="5" t="s">
        <v>2408</v>
      </c>
      <c r="G350">
        <v>3</v>
      </c>
      <c r="H350">
        <v>359.73</v>
      </c>
      <c r="I350" s="6" t="s">
        <v>2701</v>
      </c>
      <c r="J350" s="6" t="s">
        <v>3065</v>
      </c>
      <c r="K350" s="6" t="s">
        <v>3072</v>
      </c>
      <c r="L350" t="s">
        <v>3423</v>
      </c>
      <c r="M350">
        <v>7</v>
      </c>
      <c r="N350" t="s">
        <v>4276</v>
      </c>
      <c r="O350" t="s">
        <v>4280</v>
      </c>
      <c r="P350">
        <v>1079.19</v>
      </c>
    </row>
    <row r="351" spans="1:16" x14ac:dyDescent="0.3">
      <c r="A351" t="s">
        <v>363</v>
      </c>
      <c r="B351" s="3">
        <v>45260</v>
      </c>
      <c r="C351" s="7" t="str">
        <f t="shared" si="10"/>
        <v>2023</v>
      </c>
      <c r="D351" s="7" t="str">
        <f t="shared" si="11"/>
        <v>Nov</v>
      </c>
      <c r="E351" s="6" t="s">
        <v>1563</v>
      </c>
      <c r="F351" s="5" t="s">
        <v>2406</v>
      </c>
      <c r="G351">
        <v>1</v>
      </c>
      <c r="H351">
        <v>465.33</v>
      </c>
      <c r="I351" s="6" t="s">
        <v>2702</v>
      </c>
      <c r="J351" s="6" t="s">
        <v>3068</v>
      </c>
      <c r="K351" s="6" t="s">
        <v>3073</v>
      </c>
      <c r="L351" t="s">
        <v>3424</v>
      </c>
      <c r="M351">
        <v>2</v>
      </c>
      <c r="N351" t="s">
        <v>4276</v>
      </c>
      <c r="O351" t="s">
        <v>4282</v>
      </c>
      <c r="P351">
        <v>465.33</v>
      </c>
    </row>
    <row r="352" spans="1:16" x14ac:dyDescent="0.3">
      <c r="A352" t="s">
        <v>364</v>
      </c>
      <c r="B352" s="3">
        <v>45080</v>
      </c>
      <c r="C352" s="7" t="str">
        <f t="shared" si="10"/>
        <v>2023</v>
      </c>
      <c r="D352" s="7" t="str">
        <f t="shared" si="11"/>
        <v>Jun</v>
      </c>
      <c r="E352" s="6" t="s">
        <v>1564</v>
      </c>
      <c r="F352" s="5" t="s">
        <v>2406</v>
      </c>
      <c r="G352">
        <v>2</v>
      </c>
      <c r="H352">
        <v>54.41</v>
      </c>
      <c r="I352" s="6" t="s">
        <v>2703</v>
      </c>
      <c r="J352" s="6" t="s">
        <v>3066</v>
      </c>
      <c r="K352" s="6" t="s">
        <v>3070</v>
      </c>
      <c r="L352" t="s">
        <v>3425</v>
      </c>
      <c r="M352">
        <v>6</v>
      </c>
      <c r="N352" t="s">
        <v>4285</v>
      </c>
      <c r="O352" t="s">
        <v>4278</v>
      </c>
      <c r="P352">
        <v>108.82</v>
      </c>
    </row>
    <row r="353" spans="1:16" x14ac:dyDescent="0.3">
      <c r="A353" t="s">
        <v>365</v>
      </c>
      <c r="B353" s="3">
        <v>45703</v>
      </c>
      <c r="C353" s="7" t="str">
        <f t="shared" si="10"/>
        <v>2025</v>
      </c>
      <c r="D353" s="7" t="str">
        <f t="shared" si="11"/>
        <v>Feb</v>
      </c>
      <c r="E353" s="6" t="s">
        <v>1565</v>
      </c>
      <c r="F353" s="5" t="s">
        <v>2408</v>
      </c>
      <c r="G353">
        <v>1</v>
      </c>
      <c r="H353">
        <v>64.66</v>
      </c>
      <c r="I353" s="6" t="s">
        <v>2704</v>
      </c>
      <c r="J353" s="6" t="s">
        <v>3065</v>
      </c>
      <c r="K353" s="6" t="s">
        <v>3073</v>
      </c>
      <c r="L353" t="s">
        <v>3426</v>
      </c>
      <c r="M353">
        <v>4</v>
      </c>
      <c r="N353" t="s">
        <v>4285</v>
      </c>
      <c r="O353" t="s">
        <v>4278</v>
      </c>
      <c r="P353">
        <v>64.66</v>
      </c>
    </row>
    <row r="354" spans="1:16" x14ac:dyDescent="0.3">
      <c r="A354" t="s">
        <v>366</v>
      </c>
      <c r="B354" s="3">
        <v>45169</v>
      </c>
      <c r="C354" s="7" t="str">
        <f t="shared" si="10"/>
        <v>2023</v>
      </c>
      <c r="D354" s="7" t="str">
        <f t="shared" si="11"/>
        <v>Aug</v>
      </c>
      <c r="E354" s="6" t="s">
        <v>1566</v>
      </c>
      <c r="F354" s="5" t="s">
        <v>2406</v>
      </c>
      <c r="G354">
        <v>5</v>
      </c>
      <c r="H354">
        <v>173.96</v>
      </c>
      <c r="I354" s="6" t="s">
        <v>2705</v>
      </c>
      <c r="J354" s="6" t="s">
        <v>3065</v>
      </c>
      <c r="K354" s="6" t="s">
        <v>3074</v>
      </c>
      <c r="L354" t="s">
        <v>3427</v>
      </c>
      <c r="M354">
        <v>8</v>
      </c>
      <c r="N354" t="s">
        <v>4277</v>
      </c>
      <c r="O354" t="s">
        <v>4278</v>
      </c>
      <c r="P354">
        <v>869.80000000000007</v>
      </c>
    </row>
    <row r="355" spans="1:16" x14ac:dyDescent="0.3">
      <c r="A355" t="s">
        <v>367</v>
      </c>
      <c r="B355" s="3">
        <v>45744</v>
      </c>
      <c r="C355" s="7" t="str">
        <f t="shared" si="10"/>
        <v>2025</v>
      </c>
      <c r="D355" s="7" t="str">
        <f t="shared" si="11"/>
        <v>Mar</v>
      </c>
      <c r="E355" s="6" t="s">
        <v>1567</v>
      </c>
      <c r="F355" s="5" t="s">
        <v>2405</v>
      </c>
      <c r="G355">
        <v>1</v>
      </c>
      <c r="H355">
        <v>630.82000000000005</v>
      </c>
      <c r="I355" s="6" t="s">
        <v>2706</v>
      </c>
      <c r="J355" s="6" t="s">
        <v>3066</v>
      </c>
      <c r="K355" s="6" t="s">
        <v>3073</v>
      </c>
      <c r="L355" t="s">
        <v>3428</v>
      </c>
      <c r="M355">
        <v>5</v>
      </c>
      <c r="N355" t="s">
        <v>4276</v>
      </c>
      <c r="O355" t="s">
        <v>4282</v>
      </c>
      <c r="P355">
        <v>630.82000000000005</v>
      </c>
    </row>
    <row r="356" spans="1:16" x14ac:dyDescent="0.3">
      <c r="A356" t="s">
        <v>368</v>
      </c>
      <c r="B356" s="3">
        <v>45118</v>
      </c>
      <c r="C356" s="7" t="str">
        <f t="shared" si="10"/>
        <v>2023</v>
      </c>
      <c r="D356" s="7" t="str">
        <f t="shared" si="11"/>
        <v>Jul</v>
      </c>
      <c r="E356" s="6" t="s">
        <v>1568</v>
      </c>
      <c r="F356" s="5" t="s">
        <v>2404</v>
      </c>
      <c r="G356">
        <v>1</v>
      </c>
      <c r="H356">
        <v>693.41</v>
      </c>
      <c r="I356" s="6" t="s">
        <v>2707</v>
      </c>
      <c r="J356" s="6" t="s">
        <v>3065</v>
      </c>
      <c r="K356" s="6" t="s">
        <v>3070</v>
      </c>
      <c r="L356" t="s">
        <v>3429</v>
      </c>
      <c r="M356">
        <v>4</v>
      </c>
      <c r="N356" t="s">
        <v>4285</v>
      </c>
      <c r="O356" t="s">
        <v>4278</v>
      </c>
      <c r="P356">
        <v>693.41</v>
      </c>
    </row>
    <row r="357" spans="1:16" x14ac:dyDescent="0.3">
      <c r="A357" t="s">
        <v>369</v>
      </c>
      <c r="B357" s="3">
        <v>45811</v>
      </c>
      <c r="C357" s="7" t="str">
        <f t="shared" si="10"/>
        <v>2025</v>
      </c>
      <c r="D357" s="7" t="str">
        <f t="shared" si="11"/>
        <v>Jun</v>
      </c>
      <c r="E357" s="6" t="s">
        <v>1569</v>
      </c>
      <c r="F357" s="5" t="s">
        <v>2405</v>
      </c>
      <c r="G357">
        <v>3</v>
      </c>
      <c r="H357">
        <v>433.33</v>
      </c>
      <c r="I357" s="6" t="s">
        <v>2708</v>
      </c>
      <c r="J357" s="6" t="s">
        <v>3067</v>
      </c>
      <c r="K357" s="6" t="s">
        <v>3071</v>
      </c>
      <c r="L357" t="s">
        <v>3430</v>
      </c>
      <c r="M357">
        <v>4</v>
      </c>
      <c r="N357" t="s">
        <v>4276</v>
      </c>
      <c r="O357" t="s">
        <v>4279</v>
      </c>
      <c r="P357">
        <v>1299.99</v>
      </c>
    </row>
    <row r="358" spans="1:16" x14ac:dyDescent="0.3">
      <c r="A358" t="s">
        <v>370</v>
      </c>
      <c r="B358" s="3">
        <v>45052</v>
      </c>
      <c r="C358" s="7" t="str">
        <f t="shared" si="10"/>
        <v>2023</v>
      </c>
      <c r="D358" s="7" t="str">
        <f t="shared" si="11"/>
        <v>May</v>
      </c>
      <c r="E358" s="6" t="s">
        <v>1570</v>
      </c>
      <c r="F358" s="5" t="s">
        <v>2407</v>
      </c>
      <c r="G358">
        <v>5</v>
      </c>
      <c r="H358">
        <v>374.58</v>
      </c>
      <c r="I358" s="6" t="s">
        <v>2709</v>
      </c>
      <c r="J358" s="6" t="s">
        <v>3068</v>
      </c>
      <c r="K358" s="6" t="s">
        <v>3071</v>
      </c>
      <c r="L358" t="s">
        <v>3431</v>
      </c>
      <c r="M358">
        <v>10</v>
      </c>
      <c r="N358" t="s">
        <v>4276</v>
      </c>
      <c r="O358" t="s">
        <v>4278</v>
      </c>
      <c r="P358">
        <v>1872.9</v>
      </c>
    </row>
    <row r="359" spans="1:16" x14ac:dyDescent="0.3">
      <c r="A359" t="s">
        <v>371</v>
      </c>
      <c r="B359" s="3">
        <v>45115</v>
      </c>
      <c r="C359" s="7" t="str">
        <f t="shared" si="10"/>
        <v>2023</v>
      </c>
      <c r="D359" s="7" t="str">
        <f t="shared" si="11"/>
        <v>Jul</v>
      </c>
      <c r="E359" s="6" t="s">
        <v>1571</v>
      </c>
      <c r="F359" s="5" t="s">
        <v>2408</v>
      </c>
      <c r="G359">
        <v>5</v>
      </c>
      <c r="H359">
        <v>408.56</v>
      </c>
      <c r="I359" s="6" t="s">
        <v>2692</v>
      </c>
      <c r="J359" s="6" t="s">
        <v>3065</v>
      </c>
      <c r="K359" s="6" t="s">
        <v>3073</v>
      </c>
      <c r="L359" t="s">
        <v>3432</v>
      </c>
      <c r="M359">
        <v>8</v>
      </c>
      <c r="N359" t="s">
        <v>4276</v>
      </c>
      <c r="O359" t="s">
        <v>4278</v>
      </c>
      <c r="P359">
        <v>2042.8</v>
      </c>
    </row>
    <row r="360" spans="1:16" x14ac:dyDescent="0.3">
      <c r="A360" t="s">
        <v>372</v>
      </c>
      <c r="B360" s="3">
        <v>45389</v>
      </c>
      <c r="C360" s="7" t="str">
        <f t="shared" si="10"/>
        <v>2024</v>
      </c>
      <c r="D360" s="7" t="str">
        <f t="shared" si="11"/>
        <v>Apr</v>
      </c>
      <c r="E360" s="6" t="s">
        <v>1572</v>
      </c>
      <c r="F360" s="5" t="s">
        <v>2405</v>
      </c>
      <c r="G360">
        <v>2</v>
      </c>
      <c r="H360">
        <v>183.67</v>
      </c>
      <c r="I360" s="6" t="s">
        <v>2710</v>
      </c>
      <c r="J360" s="6" t="s">
        <v>3066</v>
      </c>
      <c r="K360" s="6" t="s">
        <v>3071</v>
      </c>
      <c r="L360" t="s">
        <v>3433</v>
      </c>
      <c r="M360">
        <v>3</v>
      </c>
      <c r="N360" t="s">
        <v>4275</v>
      </c>
      <c r="O360" t="s">
        <v>4282</v>
      </c>
      <c r="P360">
        <v>367.34</v>
      </c>
    </row>
    <row r="361" spans="1:16" x14ac:dyDescent="0.3">
      <c r="A361" t="s">
        <v>373</v>
      </c>
      <c r="B361" s="3">
        <v>45086</v>
      </c>
      <c r="C361" s="7" t="str">
        <f t="shared" si="10"/>
        <v>2023</v>
      </c>
      <c r="D361" s="7" t="str">
        <f t="shared" si="11"/>
        <v>Jun</v>
      </c>
      <c r="E361" s="6" t="s">
        <v>1573</v>
      </c>
      <c r="F361" s="5" t="s">
        <v>2409</v>
      </c>
      <c r="G361">
        <v>4</v>
      </c>
      <c r="H361">
        <v>606.57000000000005</v>
      </c>
      <c r="I361" s="6" t="s">
        <v>2711</v>
      </c>
      <c r="J361" s="6" t="s">
        <v>3065</v>
      </c>
      <c r="K361" s="6" t="s">
        <v>3073</v>
      </c>
      <c r="L361" t="s">
        <v>3434</v>
      </c>
      <c r="M361">
        <v>5</v>
      </c>
      <c r="N361" t="s">
        <v>4277</v>
      </c>
      <c r="O361" t="s">
        <v>4279</v>
      </c>
      <c r="P361">
        <v>2426.2800000000002</v>
      </c>
    </row>
    <row r="362" spans="1:16" x14ac:dyDescent="0.3">
      <c r="A362" t="s">
        <v>374</v>
      </c>
      <c r="B362" s="3">
        <v>45449</v>
      </c>
      <c r="C362" s="7" t="str">
        <f t="shared" si="10"/>
        <v>2024</v>
      </c>
      <c r="D362" s="7" t="str">
        <f t="shared" si="11"/>
        <v>Jun</v>
      </c>
      <c r="E362" s="6" t="s">
        <v>1574</v>
      </c>
      <c r="F362" s="5" t="s">
        <v>2404</v>
      </c>
      <c r="G362">
        <v>4</v>
      </c>
      <c r="H362">
        <v>589.57000000000005</v>
      </c>
      <c r="I362" s="6" t="s">
        <v>2712</v>
      </c>
      <c r="J362" s="6" t="s">
        <v>3069</v>
      </c>
      <c r="K362" s="6" t="s">
        <v>3074</v>
      </c>
      <c r="L362" t="s">
        <v>3435</v>
      </c>
      <c r="M362">
        <v>8</v>
      </c>
      <c r="N362" t="s">
        <v>4285</v>
      </c>
      <c r="O362" t="s">
        <v>4278</v>
      </c>
      <c r="P362">
        <v>2358.2800000000002</v>
      </c>
    </row>
    <row r="363" spans="1:16" x14ac:dyDescent="0.3">
      <c r="A363" t="s">
        <v>375</v>
      </c>
      <c r="B363" s="3">
        <v>45472</v>
      </c>
      <c r="C363" s="7" t="str">
        <f t="shared" si="10"/>
        <v>2024</v>
      </c>
      <c r="D363" s="7" t="str">
        <f t="shared" si="11"/>
        <v>Jun</v>
      </c>
      <c r="E363" s="6" t="s">
        <v>1575</v>
      </c>
      <c r="F363" s="5" t="s">
        <v>2407</v>
      </c>
      <c r="G363">
        <v>5</v>
      </c>
      <c r="H363">
        <v>659.85</v>
      </c>
      <c r="I363" s="6" t="s">
        <v>2713</v>
      </c>
      <c r="J363" s="6" t="s">
        <v>3067</v>
      </c>
      <c r="K363" s="6" t="s">
        <v>3073</v>
      </c>
      <c r="L363" t="s">
        <v>3436</v>
      </c>
      <c r="M363">
        <v>9</v>
      </c>
      <c r="N363" t="s">
        <v>4275</v>
      </c>
      <c r="O363" t="s">
        <v>4281</v>
      </c>
      <c r="P363">
        <v>3299.25</v>
      </c>
    </row>
    <row r="364" spans="1:16" x14ac:dyDescent="0.3">
      <c r="A364" t="s">
        <v>376</v>
      </c>
      <c r="B364" s="3">
        <v>45104</v>
      </c>
      <c r="C364" s="7" t="str">
        <f t="shared" si="10"/>
        <v>2023</v>
      </c>
      <c r="D364" s="7" t="str">
        <f t="shared" si="11"/>
        <v>Jun</v>
      </c>
      <c r="E364" s="6" t="s">
        <v>1576</v>
      </c>
      <c r="F364" s="5" t="s">
        <v>2403</v>
      </c>
      <c r="G364">
        <v>4</v>
      </c>
      <c r="H364">
        <v>206.84</v>
      </c>
      <c r="I364" s="6" t="s">
        <v>2714</v>
      </c>
      <c r="J364" s="6" t="s">
        <v>3069</v>
      </c>
      <c r="K364" s="6" t="s">
        <v>3071</v>
      </c>
      <c r="L364" t="s">
        <v>3437</v>
      </c>
      <c r="M364">
        <v>5</v>
      </c>
      <c r="N364" t="s">
        <v>4277</v>
      </c>
      <c r="O364" t="s">
        <v>4278</v>
      </c>
      <c r="P364">
        <v>827.36</v>
      </c>
    </row>
    <row r="365" spans="1:16" x14ac:dyDescent="0.3">
      <c r="A365" t="s">
        <v>377</v>
      </c>
      <c r="B365" s="3">
        <v>45436</v>
      </c>
      <c r="C365" s="7" t="str">
        <f t="shared" si="10"/>
        <v>2024</v>
      </c>
      <c r="D365" s="7" t="str">
        <f t="shared" si="11"/>
        <v>May</v>
      </c>
      <c r="E365" s="6" t="s">
        <v>1577</v>
      </c>
      <c r="F365" s="5" t="s">
        <v>2408</v>
      </c>
      <c r="G365">
        <v>5</v>
      </c>
      <c r="H365">
        <v>113.87</v>
      </c>
      <c r="I365" s="6" t="s">
        <v>2452</v>
      </c>
      <c r="J365" s="6" t="s">
        <v>3067</v>
      </c>
      <c r="K365" s="6" t="s">
        <v>3074</v>
      </c>
      <c r="L365" t="s">
        <v>3438</v>
      </c>
      <c r="M365">
        <v>6</v>
      </c>
      <c r="N365" t="s">
        <v>4275</v>
      </c>
      <c r="O365" t="s">
        <v>4280</v>
      </c>
      <c r="P365">
        <v>569.35</v>
      </c>
    </row>
    <row r="366" spans="1:16" x14ac:dyDescent="0.3">
      <c r="A366" t="s">
        <v>378</v>
      </c>
      <c r="B366" s="3">
        <v>45254</v>
      </c>
      <c r="C366" s="7" t="str">
        <f t="shared" si="10"/>
        <v>2023</v>
      </c>
      <c r="D366" s="7" t="str">
        <f t="shared" si="11"/>
        <v>Nov</v>
      </c>
      <c r="E366" s="6" t="s">
        <v>1578</v>
      </c>
      <c r="F366" s="5" t="s">
        <v>2404</v>
      </c>
      <c r="G366">
        <v>5</v>
      </c>
      <c r="H366">
        <v>628.74</v>
      </c>
      <c r="I366" s="6" t="s">
        <v>2650</v>
      </c>
      <c r="J366" s="6" t="s">
        <v>3069</v>
      </c>
      <c r="K366" s="6" t="s">
        <v>3071</v>
      </c>
      <c r="L366" t="s">
        <v>3439</v>
      </c>
      <c r="M366">
        <v>9</v>
      </c>
      <c r="N366" t="s">
        <v>4276</v>
      </c>
      <c r="O366" t="s">
        <v>4281</v>
      </c>
      <c r="P366">
        <v>3143.7</v>
      </c>
    </row>
    <row r="367" spans="1:16" x14ac:dyDescent="0.3">
      <c r="A367" t="s">
        <v>379</v>
      </c>
      <c r="B367" s="3">
        <v>45702</v>
      </c>
      <c r="C367" s="7" t="str">
        <f t="shared" si="10"/>
        <v>2025</v>
      </c>
      <c r="D367" s="7" t="str">
        <f t="shared" si="11"/>
        <v>Feb</v>
      </c>
      <c r="E367" s="6" t="s">
        <v>1579</v>
      </c>
      <c r="F367" s="5" t="s">
        <v>2404</v>
      </c>
      <c r="G367">
        <v>1</v>
      </c>
      <c r="H367">
        <v>678.38</v>
      </c>
      <c r="I367" s="6" t="s">
        <v>2686</v>
      </c>
      <c r="J367" s="6" t="s">
        <v>3067</v>
      </c>
      <c r="K367" s="6" t="s">
        <v>3071</v>
      </c>
      <c r="L367" t="s">
        <v>3440</v>
      </c>
      <c r="M367">
        <v>4</v>
      </c>
      <c r="N367" t="s">
        <v>4275</v>
      </c>
      <c r="O367" t="s">
        <v>4279</v>
      </c>
      <c r="P367">
        <v>678.38</v>
      </c>
    </row>
    <row r="368" spans="1:16" x14ac:dyDescent="0.3">
      <c r="A368" t="s">
        <v>380</v>
      </c>
      <c r="B368" s="3">
        <v>44967</v>
      </c>
      <c r="C368" s="7" t="str">
        <f t="shared" si="10"/>
        <v>2023</v>
      </c>
      <c r="D368" s="7" t="str">
        <f t="shared" si="11"/>
        <v>Feb</v>
      </c>
      <c r="E368" s="6" t="s">
        <v>1580</v>
      </c>
      <c r="F368" s="5" t="s">
        <v>2407</v>
      </c>
      <c r="G368">
        <v>3</v>
      </c>
      <c r="H368">
        <v>602.24</v>
      </c>
      <c r="I368" s="6" t="s">
        <v>2715</v>
      </c>
      <c r="J368" s="6" t="s">
        <v>3065</v>
      </c>
      <c r="K368" s="6" t="s">
        <v>3074</v>
      </c>
      <c r="L368" t="s">
        <v>3441</v>
      </c>
      <c r="M368">
        <v>8</v>
      </c>
      <c r="N368" t="s">
        <v>4285</v>
      </c>
      <c r="O368" t="s">
        <v>4279</v>
      </c>
      <c r="P368">
        <v>1806.72</v>
      </c>
    </row>
    <row r="369" spans="1:16" x14ac:dyDescent="0.3">
      <c r="A369" t="s">
        <v>381</v>
      </c>
      <c r="B369" s="3">
        <v>45407</v>
      </c>
      <c r="C369" s="7" t="str">
        <f t="shared" si="10"/>
        <v>2024</v>
      </c>
      <c r="D369" s="7" t="str">
        <f t="shared" si="11"/>
        <v>Apr</v>
      </c>
      <c r="E369" s="6" t="s">
        <v>1581</v>
      </c>
      <c r="F369" s="5" t="s">
        <v>2408</v>
      </c>
      <c r="G369">
        <v>5</v>
      </c>
      <c r="H369">
        <v>658.77</v>
      </c>
      <c r="I369" s="6" t="s">
        <v>2630</v>
      </c>
      <c r="J369" s="6" t="s">
        <v>3068</v>
      </c>
      <c r="K369" s="6" t="s">
        <v>3074</v>
      </c>
      <c r="L369" t="s">
        <v>3442</v>
      </c>
      <c r="M369">
        <v>10</v>
      </c>
      <c r="N369" t="s">
        <v>4276</v>
      </c>
      <c r="O369" t="s">
        <v>4278</v>
      </c>
      <c r="P369">
        <v>3293.85</v>
      </c>
    </row>
    <row r="370" spans="1:16" x14ac:dyDescent="0.3">
      <c r="A370" t="s">
        <v>382</v>
      </c>
      <c r="B370" s="3">
        <v>45047</v>
      </c>
      <c r="C370" s="7" t="str">
        <f t="shared" si="10"/>
        <v>2023</v>
      </c>
      <c r="D370" s="7" t="str">
        <f t="shared" si="11"/>
        <v>May</v>
      </c>
      <c r="E370" s="6" t="s">
        <v>1582</v>
      </c>
      <c r="F370" s="5" t="s">
        <v>2403</v>
      </c>
      <c r="G370">
        <v>3</v>
      </c>
      <c r="H370">
        <v>271.02</v>
      </c>
      <c r="I370" s="6" t="s">
        <v>2716</v>
      </c>
      <c r="J370" s="6" t="s">
        <v>3067</v>
      </c>
      <c r="K370" s="6" t="s">
        <v>3071</v>
      </c>
      <c r="L370" t="s">
        <v>3443</v>
      </c>
      <c r="M370">
        <v>6</v>
      </c>
      <c r="N370" t="s">
        <v>4285</v>
      </c>
      <c r="O370" t="s">
        <v>4282</v>
      </c>
      <c r="P370">
        <v>813.06</v>
      </c>
    </row>
    <row r="371" spans="1:16" x14ac:dyDescent="0.3">
      <c r="A371" t="s">
        <v>383</v>
      </c>
      <c r="B371" s="3">
        <v>45648</v>
      </c>
      <c r="C371" s="7" t="str">
        <f t="shared" si="10"/>
        <v>2024</v>
      </c>
      <c r="D371" s="7" t="str">
        <f t="shared" si="11"/>
        <v>Dec</v>
      </c>
      <c r="E371" s="6" t="s">
        <v>1583</v>
      </c>
      <c r="F371" s="5" t="s">
        <v>2403</v>
      </c>
      <c r="G371">
        <v>5</v>
      </c>
      <c r="H371">
        <v>375.25</v>
      </c>
      <c r="I371" s="6" t="s">
        <v>2717</v>
      </c>
      <c r="J371" s="6" t="s">
        <v>3068</v>
      </c>
      <c r="K371" s="6" t="s">
        <v>3074</v>
      </c>
      <c r="L371" t="s">
        <v>3444</v>
      </c>
      <c r="M371">
        <v>9</v>
      </c>
      <c r="N371" t="s">
        <v>4275</v>
      </c>
      <c r="O371" t="s">
        <v>4280</v>
      </c>
      <c r="P371">
        <v>1876.25</v>
      </c>
    </row>
    <row r="372" spans="1:16" x14ac:dyDescent="0.3">
      <c r="A372" t="s">
        <v>384</v>
      </c>
      <c r="B372" s="3">
        <v>45780</v>
      </c>
      <c r="C372" s="7" t="str">
        <f t="shared" si="10"/>
        <v>2025</v>
      </c>
      <c r="D372" s="7" t="str">
        <f t="shared" si="11"/>
        <v>May</v>
      </c>
      <c r="E372" s="6" t="s">
        <v>1584</v>
      </c>
      <c r="F372" s="5" t="s">
        <v>2404</v>
      </c>
      <c r="G372">
        <v>1</v>
      </c>
      <c r="H372">
        <v>312.11</v>
      </c>
      <c r="I372" s="6" t="s">
        <v>2718</v>
      </c>
      <c r="J372" s="6" t="s">
        <v>3066</v>
      </c>
      <c r="K372" s="6" t="s">
        <v>3071</v>
      </c>
      <c r="L372" t="s">
        <v>3445</v>
      </c>
      <c r="M372">
        <v>4</v>
      </c>
      <c r="N372" t="s">
        <v>4277</v>
      </c>
      <c r="O372" t="s">
        <v>4281</v>
      </c>
      <c r="P372">
        <v>312.11</v>
      </c>
    </row>
    <row r="373" spans="1:16" x14ac:dyDescent="0.3">
      <c r="A373" t="s">
        <v>385</v>
      </c>
      <c r="B373" s="3">
        <v>44931</v>
      </c>
      <c r="C373" s="7" t="str">
        <f t="shared" si="10"/>
        <v>2023</v>
      </c>
      <c r="D373" s="7" t="str">
        <f t="shared" si="11"/>
        <v>Jan</v>
      </c>
      <c r="E373" s="6" t="s">
        <v>1585</v>
      </c>
      <c r="F373" s="5" t="s">
        <v>2404</v>
      </c>
      <c r="G373">
        <v>5</v>
      </c>
      <c r="H373">
        <v>307.76</v>
      </c>
      <c r="I373" s="6" t="s">
        <v>2422</v>
      </c>
      <c r="J373" s="6" t="s">
        <v>3068</v>
      </c>
      <c r="K373" s="6" t="s">
        <v>3074</v>
      </c>
      <c r="L373" t="s">
        <v>3446</v>
      </c>
      <c r="M373">
        <v>9</v>
      </c>
      <c r="N373" t="s">
        <v>4276</v>
      </c>
      <c r="O373" t="s">
        <v>4282</v>
      </c>
      <c r="P373">
        <v>1538.8</v>
      </c>
    </row>
    <row r="374" spans="1:16" x14ac:dyDescent="0.3">
      <c r="A374" t="s">
        <v>386</v>
      </c>
      <c r="B374" s="3">
        <v>45702</v>
      </c>
      <c r="C374" s="7" t="str">
        <f t="shared" si="10"/>
        <v>2025</v>
      </c>
      <c r="D374" s="7" t="str">
        <f t="shared" si="11"/>
        <v>Feb</v>
      </c>
      <c r="E374" s="6" t="s">
        <v>1586</v>
      </c>
      <c r="F374" s="5" t="s">
        <v>2406</v>
      </c>
      <c r="G374">
        <v>3</v>
      </c>
      <c r="H374">
        <v>483.53</v>
      </c>
      <c r="I374" s="6" t="s">
        <v>2719</v>
      </c>
      <c r="J374" s="6" t="s">
        <v>3069</v>
      </c>
      <c r="K374" s="6" t="s">
        <v>3072</v>
      </c>
      <c r="L374" t="s">
        <v>3447</v>
      </c>
      <c r="M374">
        <v>4</v>
      </c>
      <c r="N374" t="s">
        <v>4285</v>
      </c>
      <c r="O374" t="s">
        <v>4279</v>
      </c>
      <c r="P374">
        <v>1450.59</v>
      </c>
    </row>
    <row r="375" spans="1:16" x14ac:dyDescent="0.3">
      <c r="A375" t="s">
        <v>387</v>
      </c>
      <c r="B375" s="3">
        <v>44928</v>
      </c>
      <c r="C375" s="7" t="str">
        <f t="shared" si="10"/>
        <v>2023</v>
      </c>
      <c r="D375" s="7" t="str">
        <f t="shared" si="11"/>
        <v>Jan</v>
      </c>
      <c r="E375" s="6" t="s">
        <v>1587</v>
      </c>
      <c r="F375" s="5" t="s">
        <v>2408</v>
      </c>
      <c r="G375">
        <v>3</v>
      </c>
      <c r="H375">
        <v>341.15</v>
      </c>
      <c r="I375" s="6" t="s">
        <v>2720</v>
      </c>
      <c r="J375" s="6" t="s">
        <v>3069</v>
      </c>
      <c r="K375" s="6" t="s">
        <v>3074</v>
      </c>
      <c r="L375" t="s">
        <v>3448</v>
      </c>
      <c r="M375">
        <v>4</v>
      </c>
      <c r="N375" t="s">
        <v>4276</v>
      </c>
      <c r="O375" t="s">
        <v>4278</v>
      </c>
      <c r="P375">
        <v>1023.45</v>
      </c>
    </row>
    <row r="376" spans="1:16" x14ac:dyDescent="0.3">
      <c r="A376" t="s">
        <v>388</v>
      </c>
      <c r="B376" s="3">
        <v>45551</v>
      </c>
      <c r="C376" s="7" t="str">
        <f t="shared" si="10"/>
        <v>2024</v>
      </c>
      <c r="D376" s="7" t="str">
        <f t="shared" si="11"/>
        <v>Sept</v>
      </c>
      <c r="E376" s="6" t="s">
        <v>1588</v>
      </c>
      <c r="F376" s="5" t="s">
        <v>2403</v>
      </c>
      <c r="G376">
        <v>1</v>
      </c>
      <c r="H376">
        <v>571.9</v>
      </c>
      <c r="I376" s="6" t="s">
        <v>2477</v>
      </c>
      <c r="J376" s="6" t="s">
        <v>3068</v>
      </c>
      <c r="K376" s="6" t="s">
        <v>3074</v>
      </c>
      <c r="L376" t="s">
        <v>3449</v>
      </c>
      <c r="M376">
        <v>1</v>
      </c>
      <c r="N376" t="s">
        <v>4277</v>
      </c>
      <c r="O376" t="s">
        <v>4278</v>
      </c>
      <c r="P376">
        <v>571.9</v>
      </c>
    </row>
    <row r="377" spans="1:16" x14ac:dyDescent="0.3">
      <c r="A377" t="s">
        <v>389</v>
      </c>
      <c r="B377" s="3">
        <v>45673</v>
      </c>
      <c r="C377" s="7" t="str">
        <f t="shared" si="10"/>
        <v>2025</v>
      </c>
      <c r="D377" s="7" t="str">
        <f t="shared" si="11"/>
        <v>Jan</v>
      </c>
      <c r="E377" s="6" t="s">
        <v>1589</v>
      </c>
      <c r="F377" s="5" t="s">
        <v>2403</v>
      </c>
      <c r="G377">
        <v>4</v>
      </c>
      <c r="H377">
        <v>95.03</v>
      </c>
      <c r="I377" s="6" t="s">
        <v>2721</v>
      </c>
      <c r="J377" s="6" t="s">
        <v>3066</v>
      </c>
      <c r="K377" s="6" t="s">
        <v>3070</v>
      </c>
      <c r="L377" t="s">
        <v>3450</v>
      </c>
      <c r="M377">
        <v>8</v>
      </c>
      <c r="N377" t="s">
        <v>4276</v>
      </c>
      <c r="O377" t="s">
        <v>4281</v>
      </c>
      <c r="P377">
        <v>380.12</v>
      </c>
    </row>
    <row r="378" spans="1:16" x14ac:dyDescent="0.3">
      <c r="A378" t="s">
        <v>390</v>
      </c>
      <c r="B378" s="3">
        <v>45162</v>
      </c>
      <c r="C378" s="7" t="str">
        <f t="shared" si="10"/>
        <v>2023</v>
      </c>
      <c r="D378" s="7" t="str">
        <f t="shared" si="11"/>
        <v>Aug</v>
      </c>
      <c r="E378" s="6" t="s">
        <v>1590</v>
      </c>
      <c r="F378" s="5" t="s">
        <v>2403</v>
      </c>
      <c r="G378">
        <v>5</v>
      </c>
      <c r="H378">
        <v>201.22</v>
      </c>
      <c r="I378" s="6" t="s">
        <v>2722</v>
      </c>
      <c r="J378" s="6" t="s">
        <v>3065</v>
      </c>
      <c r="K378" s="6" t="s">
        <v>3074</v>
      </c>
      <c r="L378" t="s">
        <v>3451</v>
      </c>
      <c r="M378">
        <v>6</v>
      </c>
      <c r="N378" t="s">
        <v>4276</v>
      </c>
      <c r="O378" t="s">
        <v>4281</v>
      </c>
      <c r="P378">
        <v>1006.1</v>
      </c>
    </row>
    <row r="379" spans="1:16" x14ac:dyDescent="0.3">
      <c r="A379" t="s">
        <v>391</v>
      </c>
      <c r="B379" s="3">
        <v>45495</v>
      </c>
      <c r="C379" s="7" t="str">
        <f t="shared" si="10"/>
        <v>2024</v>
      </c>
      <c r="D379" s="7" t="str">
        <f t="shared" si="11"/>
        <v>Jul</v>
      </c>
      <c r="E379" s="6" t="s">
        <v>1591</v>
      </c>
      <c r="F379" s="5" t="s">
        <v>2403</v>
      </c>
      <c r="G379">
        <v>1</v>
      </c>
      <c r="H379">
        <v>260.26</v>
      </c>
      <c r="I379" s="6" t="s">
        <v>2671</v>
      </c>
      <c r="J379" s="6" t="s">
        <v>3066</v>
      </c>
      <c r="K379" s="6" t="s">
        <v>3074</v>
      </c>
      <c r="L379" t="s">
        <v>3452</v>
      </c>
      <c r="M379">
        <v>5</v>
      </c>
      <c r="N379" t="s">
        <v>4277</v>
      </c>
      <c r="O379" t="s">
        <v>4278</v>
      </c>
      <c r="P379">
        <v>260.26</v>
      </c>
    </row>
    <row r="380" spans="1:16" x14ac:dyDescent="0.3">
      <c r="A380" t="s">
        <v>392</v>
      </c>
      <c r="B380" s="3">
        <v>45323</v>
      </c>
      <c r="C380" s="7" t="str">
        <f t="shared" si="10"/>
        <v>2024</v>
      </c>
      <c r="D380" s="7" t="str">
        <f t="shared" si="11"/>
        <v>Feb</v>
      </c>
      <c r="E380" s="6" t="s">
        <v>1592</v>
      </c>
      <c r="F380" s="5" t="s">
        <v>2406</v>
      </c>
      <c r="G380">
        <v>5</v>
      </c>
      <c r="H380">
        <v>64.5</v>
      </c>
      <c r="I380" s="6" t="s">
        <v>2723</v>
      </c>
      <c r="J380" s="6" t="s">
        <v>3067</v>
      </c>
      <c r="K380" s="6" t="s">
        <v>3074</v>
      </c>
      <c r="L380" t="s">
        <v>3453</v>
      </c>
      <c r="M380">
        <v>8</v>
      </c>
      <c r="N380" t="s">
        <v>4277</v>
      </c>
      <c r="O380" t="s">
        <v>4278</v>
      </c>
      <c r="P380">
        <v>322.5</v>
      </c>
    </row>
    <row r="381" spans="1:16" x14ac:dyDescent="0.3">
      <c r="A381" t="s">
        <v>393</v>
      </c>
      <c r="B381" s="3">
        <v>45556</v>
      </c>
      <c r="C381" s="7" t="str">
        <f t="shared" si="10"/>
        <v>2024</v>
      </c>
      <c r="D381" s="7" t="str">
        <f t="shared" si="11"/>
        <v>Sept</v>
      </c>
      <c r="E381" s="6" t="s">
        <v>1593</v>
      </c>
      <c r="F381" s="5" t="s">
        <v>2404</v>
      </c>
      <c r="G381">
        <v>3</v>
      </c>
      <c r="H381">
        <v>297.67</v>
      </c>
      <c r="I381" s="6" t="s">
        <v>2571</v>
      </c>
      <c r="J381" s="6" t="s">
        <v>3066</v>
      </c>
      <c r="K381" s="6" t="s">
        <v>3070</v>
      </c>
      <c r="L381" t="s">
        <v>3454</v>
      </c>
      <c r="M381">
        <v>6</v>
      </c>
      <c r="N381" t="s">
        <v>4285</v>
      </c>
      <c r="O381" t="s">
        <v>4282</v>
      </c>
      <c r="P381">
        <v>893.01</v>
      </c>
    </row>
    <row r="382" spans="1:16" x14ac:dyDescent="0.3">
      <c r="A382" t="s">
        <v>394</v>
      </c>
      <c r="B382" s="3">
        <v>45402</v>
      </c>
      <c r="C382" s="7" t="str">
        <f t="shared" si="10"/>
        <v>2024</v>
      </c>
      <c r="D382" s="7" t="str">
        <f t="shared" si="11"/>
        <v>Apr</v>
      </c>
      <c r="E382" s="6" t="s">
        <v>1594</v>
      </c>
      <c r="F382" s="5" t="s">
        <v>2407</v>
      </c>
      <c r="G382">
        <v>4</v>
      </c>
      <c r="H382">
        <v>331.9</v>
      </c>
      <c r="I382" s="6" t="s">
        <v>2640</v>
      </c>
      <c r="J382" s="6" t="s">
        <v>3069</v>
      </c>
      <c r="K382" s="6" t="s">
        <v>3074</v>
      </c>
      <c r="L382" t="s">
        <v>3455</v>
      </c>
      <c r="M382">
        <v>5</v>
      </c>
      <c r="N382" t="s">
        <v>4275</v>
      </c>
      <c r="O382" t="s">
        <v>4278</v>
      </c>
      <c r="P382">
        <v>1327.6</v>
      </c>
    </row>
    <row r="383" spans="1:16" x14ac:dyDescent="0.3">
      <c r="A383" t="s">
        <v>395</v>
      </c>
      <c r="B383" s="3">
        <v>45084</v>
      </c>
      <c r="C383" s="7" t="str">
        <f t="shared" si="10"/>
        <v>2023</v>
      </c>
      <c r="D383" s="7" t="str">
        <f t="shared" si="11"/>
        <v>Jun</v>
      </c>
      <c r="E383" s="6" t="s">
        <v>1595</v>
      </c>
      <c r="F383" s="5" t="s">
        <v>2406</v>
      </c>
      <c r="G383">
        <v>1</v>
      </c>
      <c r="H383">
        <v>191.76</v>
      </c>
      <c r="I383" s="6" t="s">
        <v>2454</v>
      </c>
      <c r="J383" s="6" t="s">
        <v>3067</v>
      </c>
      <c r="K383" s="6" t="s">
        <v>3072</v>
      </c>
      <c r="L383" t="s">
        <v>3456</v>
      </c>
      <c r="M383">
        <v>1</v>
      </c>
      <c r="N383" t="s">
        <v>4276</v>
      </c>
      <c r="O383" t="s">
        <v>4278</v>
      </c>
      <c r="P383">
        <v>191.76</v>
      </c>
    </row>
    <row r="384" spans="1:16" x14ac:dyDescent="0.3">
      <c r="A384" t="s">
        <v>396</v>
      </c>
      <c r="B384" s="3">
        <v>45687</v>
      </c>
      <c r="C384" s="7" t="str">
        <f t="shared" si="10"/>
        <v>2025</v>
      </c>
      <c r="D384" s="7" t="str">
        <f t="shared" si="11"/>
        <v>Jan</v>
      </c>
      <c r="E384" s="6" t="s">
        <v>1596</v>
      </c>
      <c r="F384" s="5" t="s">
        <v>2407</v>
      </c>
      <c r="G384">
        <v>4</v>
      </c>
      <c r="H384">
        <v>263.08999999999997</v>
      </c>
      <c r="I384" s="6" t="s">
        <v>2724</v>
      </c>
      <c r="J384" s="6" t="s">
        <v>3065</v>
      </c>
      <c r="K384" s="6" t="s">
        <v>3070</v>
      </c>
      <c r="L384" t="s">
        <v>3457</v>
      </c>
      <c r="M384">
        <v>8</v>
      </c>
      <c r="N384" t="s">
        <v>4275</v>
      </c>
      <c r="O384" t="s">
        <v>4282</v>
      </c>
      <c r="P384">
        <v>1052.3599999999999</v>
      </c>
    </row>
    <row r="385" spans="1:16" x14ac:dyDescent="0.3">
      <c r="A385" t="s">
        <v>397</v>
      </c>
      <c r="B385" s="3">
        <v>44946</v>
      </c>
      <c r="C385" s="7" t="str">
        <f t="shared" si="10"/>
        <v>2023</v>
      </c>
      <c r="D385" s="7" t="str">
        <f t="shared" si="11"/>
        <v>Jan</v>
      </c>
      <c r="E385" s="6" t="s">
        <v>1597</v>
      </c>
      <c r="F385" s="5" t="s">
        <v>2406</v>
      </c>
      <c r="G385">
        <v>4</v>
      </c>
      <c r="H385">
        <v>393.8</v>
      </c>
      <c r="I385" s="6" t="s">
        <v>2497</v>
      </c>
      <c r="J385" s="6" t="s">
        <v>3067</v>
      </c>
      <c r="K385" s="6" t="s">
        <v>3074</v>
      </c>
      <c r="L385" t="s">
        <v>3458</v>
      </c>
      <c r="M385">
        <v>7</v>
      </c>
      <c r="N385" t="s">
        <v>4275</v>
      </c>
      <c r="O385" t="s">
        <v>4280</v>
      </c>
      <c r="P385">
        <v>1575.2</v>
      </c>
    </row>
    <row r="386" spans="1:16" x14ac:dyDescent="0.3">
      <c r="A386" t="s">
        <v>398</v>
      </c>
      <c r="B386" s="3">
        <v>45620</v>
      </c>
      <c r="C386" s="7" t="str">
        <f t="shared" ref="C386:C449" si="12">TEXT(B386, "yyyy")</f>
        <v>2024</v>
      </c>
      <c r="D386" s="7" t="str">
        <f t="shared" ref="D386:D449" si="13">TEXT(B386, "MMM")</f>
        <v>Nov</v>
      </c>
      <c r="E386" s="6" t="s">
        <v>1598</v>
      </c>
      <c r="F386" s="5" t="s">
        <v>2406</v>
      </c>
      <c r="G386">
        <v>3</v>
      </c>
      <c r="H386">
        <v>553.57000000000005</v>
      </c>
      <c r="I386" s="6" t="s">
        <v>2725</v>
      </c>
      <c r="J386" s="6" t="s">
        <v>3067</v>
      </c>
      <c r="K386" s="6" t="s">
        <v>3072</v>
      </c>
      <c r="L386" t="s">
        <v>3459</v>
      </c>
      <c r="M386">
        <v>4</v>
      </c>
      <c r="N386" t="s">
        <v>4276</v>
      </c>
      <c r="O386" t="s">
        <v>4281</v>
      </c>
      <c r="P386">
        <v>1660.71</v>
      </c>
    </row>
    <row r="387" spans="1:16" x14ac:dyDescent="0.3">
      <c r="A387" t="s">
        <v>399</v>
      </c>
      <c r="B387" s="3">
        <v>45230</v>
      </c>
      <c r="C387" s="7" t="str">
        <f t="shared" si="12"/>
        <v>2023</v>
      </c>
      <c r="D387" s="7" t="str">
        <f t="shared" si="13"/>
        <v>Oct</v>
      </c>
      <c r="E387" s="6" t="s">
        <v>1599</v>
      </c>
      <c r="F387" s="5" t="s">
        <v>2406</v>
      </c>
      <c r="G387">
        <v>5</v>
      </c>
      <c r="H387">
        <v>191.63</v>
      </c>
      <c r="I387" s="6" t="s">
        <v>2470</v>
      </c>
      <c r="J387" s="6" t="s">
        <v>3068</v>
      </c>
      <c r="K387" s="6" t="s">
        <v>3073</v>
      </c>
      <c r="L387" t="s">
        <v>3460</v>
      </c>
      <c r="M387">
        <v>6</v>
      </c>
      <c r="N387" t="s">
        <v>4276</v>
      </c>
      <c r="O387" t="s">
        <v>4281</v>
      </c>
      <c r="P387">
        <v>958.15</v>
      </c>
    </row>
    <row r="388" spans="1:16" x14ac:dyDescent="0.3">
      <c r="A388" t="s">
        <v>400</v>
      </c>
      <c r="B388" s="3">
        <v>45044</v>
      </c>
      <c r="C388" s="7" t="str">
        <f t="shared" si="12"/>
        <v>2023</v>
      </c>
      <c r="D388" s="7" t="str">
        <f t="shared" si="13"/>
        <v>Apr</v>
      </c>
      <c r="E388" s="6" t="s">
        <v>1600</v>
      </c>
      <c r="F388" s="5" t="s">
        <v>2405</v>
      </c>
      <c r="G388">
        <v>1</v>
      </c>
      <c r="H388">
        <v>93.02</v>
      </c>
      <c r="I388" s="6" t="s">
        <v>2726</v>
      </c>
      <c r="J388" s="6" t="s">
        <v>3066</v>
      </c>
      <c r="K388" s="6" t="s">
        <v>3072</v>
      </c>
      <c r="L388" t="s">
        <v>3461</v>
      </c>
      <c r="M388">
        <v>4</v>
      </c>
      <c r="N388" t="s">
        <v>4285</v>
      </c>
      <c r="O388" t="s">
        <v>4280</v>
      </c>
      <c r="P388">
        <v>93.02</v>
      </c>
    </row>
    <row r="389" spans="1:16" x14ac:dyDescent="0.3">
      <c r="A389" t="s">
        <v>401</v>
      </c>
      <c r="B389" s="3">
        <v>45470</v>
      </c>
      <c r="C389" s="7" t="str">
        <f t="shared" si="12"/>
        <v>2024</v>
      </c>
      <c r="D389" s="7" t="str">
        <f t="shared" si="13"/>
        <v>Jun</v>
      </c>
      <c r="E389" s="6" t="s">
        <v>1601</v>
      </c>
      <c r="F389" s="5" t="s">
        <v>2407</v>
      </c>
      <c r="G389">
        <v>2</v>
      </c>
      <c r="H389">
        <v>39.53</v>
      </c>
      <c r="I389" s="6" t="s">
        <v>2418</v>
      </c>
      <c r="J389" s="6" t="s">
        <v>3067</v>
      </c>
      <c r="K389" s="6" t="s">
        <v>3070</v>
      </c>
      <c r="L389" t="s">
        <v>3462</v>
      </c>
      <c r="M389">
        <v>3</v>
      </c>
      <c r="N389" t="s">
        <v>4277</v>
      </c>
      <c r="O389" t="s">
        <v>4282</v>
      </c>
      <c r="P389">
        <v>79.06</v>
      </c>
    </row>
    <row r="390" spans="1:16" x14ac:dyDescent="0.3">
      <c r="A390" t="s">
        <v>402</v>
      </c>
      <c r="B390" s="3">
        <v>45288</v>
      </c>
      <c r="C390" s="7" t="str">
        <f t="shared" si="12"/>
        <v>2023</v>
      </c>
      <c r="D390" s="7" t="str">
        <f t="shared" si="13"/>
        <v>Dec</v>
      </c>
      <c r="E390" s="6" t="s">
        <v>1602</v>
      </c>
      <c r="F390" s="5" t="s">
        <v>2407</v>
      </c>
      <c r="G390">
        <v>3</v>
      </c>
      <c r="H390">
        <v>633.97</v>
      </c>
      <c r="I390" s="6" t="s">
        <v>2504</v>
      </c>
      <c r="J390" s="6" t="s">
        <v>3069</v>
      </c>
      <c r="K390" s="6" t="s">
        <v>3074</v>
      </c>
      <c r="L390" t="s">
        <v>3463</v>
      </c>
      <c r="M390">
        <v>7</v>
      </c>
      <c r="N390" t="s">
        <v>4277</v>
      </c>
      <c r="O390" t="s">
        <v>4281</v>
      </c>
      <c r="P390">
        <v>1901.91</v>
      </c>
    </row>
    <row r="391" spans="1:16" x14ac:dyDescent="0.3">
      <c r="A391" t="s">
        <v>403</v>
      </c>
      <c r="B391" s="3">
        <v>45277</v>
      </c>
      <c r="C391" s="7" t="str">
        <f t="shared" si="12"/>
        <v>2023</v>
      </c>
      <c r="D391" s="7" t="str">
        <f t="shared" si="13"/>
        <v>Dec</v>
      </c>
      <c r="E391" s="6" t="s">
        <v>1603</v>
      </c>
      <c r="F391" s="5" t="s">
        <v>2409</v>
      </c>
      <c r="G391">
        <v>4</v>
      </c>
      <c r="H391">
        <v>697.5</v>
      </c>
      <c r="I391" s="6" t="s">
        <v>2727</v>
      </c>
      <c r="J391" s="6" t="s">
        <v>3069</v>
      </c>
      <c r="K391" s="6" t="s">
        <v>3070</v>
      </c>
      <c r="L391" t="s">
        <v>3464</v>
      </c>
      <c r="M391">
        <v>7</v>
      </c>
      <c r="N391" t="s">
        <v>4276</v>
      </c>
      <c r="O391" t="s">
        <v>4279</v>
      </c>
      <c r="P391">
        <v>2790</v>
      </c>
    </row>
    <row r="392" spans="1:16" x14ac:dyDescent="0.3">
      <c r="A392" t="s">
        <v>404</v>
      </c>
      <c r="B392" s="3">
        <v>45121</v>
      </c>
      <c r="C392" s="7" t="str">
        <f t="shared" si="12"/>
        <v>2023</v>
      </c>
      <c r="D392" s="7" t="str">
        <f t="shared" si="13"/>
        <v>Jul</v>
      </c>
      <c r="E392" s="6" t="s">
        <v>1604</v>
      </c>
      <c r="F392" s="5" t="s">
        <v>2407</v>
      </c>
      <c r="G392">
        <v>5</v>
      </c>
      <c r="H392">
        <v>508.69</v>
      </c>
      <c r="I392" s="6" t="s">
        <v>2701</v>
      </c>
      <c r="J392" s="6" t="s">
        <v>3069</v>
      </c>
      <c r="K392" s="6" t="s">
        <v>3073</v>
      </c>
      <c r="L392" t="s">
        <v>3465</v>
      </c>
      <c r="M392">
        <v>10</v>
      </c>
      <c r="N392" t="s">
        <v>4276</v>
      </c>
      <c r="O392" t="s">
        <v>4282</v>
      </c>
      <c r="P392">
        <v>2543.4499999999998</v>
      </c>
    </row>
    <row r="393" spans="1:16" x14ac:dyDescent="0.3">
      <c r="A393" t="s">
        <v>405</v>
      </c>
      <c r="B393" s="3">
        <v>45673</v>
      </c>
      <c r="C393" s="7" t="str">
        <f t="shared" si="12"/>
        <v>2025</v>
      </c>
      <c r="D393" s="7" t="str">
        <f t="shared" si="13"/>
        <v>Jan</v>
      </c>
      <c r="E393" s="6" t="s">
        <v>1605</v>
      </c>
      <c r="F393" s="5" t="s">
        <v>2408</v>
      </c>
      <c r="G393">
        <v>2</v>
      </c>
      <c r="H393">
        <v>527.46</v>
      </c>
      <c r="I393" s="6" t="s">
        <v>2654</v>
      </c>
      <c r="J393" s="6" t="s">
        <v>3065</v>
      </c>
      <c r="K393" s="6" t="s">
        <v>3071</v>
      </c>
      <c r="L393" t="s">
        <v>3466</v>
      </c>
      <c r="M393">
        <v>3</v>
      </c>
      <c r="N393" t="s">
        <v>4276</v>
      </c>
      <c r="O393" t="s">
        <v>4279</v>
      </c>
      <c r="P393">
        <v>1054.92</v>
      </c>
    </row>
    <row r="394" spans="1:16" x14ac:dyDescent="0.3">
      <c r="A394" t="s">
        <v>406</v>
      </c>
      <c r="B394" s="3">
        <v>45350</v>
      </c>
      <c r="C394" s="7" t="str">
        <f t="shared" si="12"/>
        <v>2024</v>
      </c>
      <c r="D394" s="7" t="str">
        <f t="shared" si="13"/>
        <v>Feb</v>
      </c>
      <c r="E394" s="6" t="s">
        <v>1606</v>
      </c>
      <c r="F394" s="5" t="s">
        <v>2404</v>
      </c>
      <c r="G394">
        <v>1</v>
      </c>
      <c r="H394">
        <v>627.20000000000005</v>
      </c>
      <c r="I394" s="6" t="s">
        <v>2713</v>
      </c>
      <c r="J394" s="6" t="s">
        <v>3066</v>
      </c>
      <c r="K394" s="6" t="s">
        <v>3073</v>
      </c>
      <c r="L394" t="s">
        <v>3467</v>
      </c>
      <c r="M394">
        <v>1</v>
      </c>
      <c r="N394" t="s">
        <v>4277</v>
      </c>
      <c r="O394" t="s">
        <v>4280</v>
      </c>
      <c r="P394">
        <v>627.20000000000005</v>
      </c>
    </row>
    <row r="395" spans="1:16" x14ac:dyDescent="0.3">
      <c r="A395" t="s">
        <v>407</v>
      </c>
      <c r="B395" s="3">
        <v>45487</v>
      </c>
      <c r="C395" s="7" t="str">
        <f t="shared" si="12"/>
        <v>2024</v>
      </c>
      <c r="D395" s="7" t="str">
        <f t="shared" si="13"/>
        <v>Jul</v>
      </c>
      <c r="E395" s="6" t="s">
        <v>1607</v>
      </c>
      <c r="F395" s="5" t="s">
        <v>2407</v>
      </c>
      <c r="G395">
        <v>1</v>
      </c>
      <c r="H395">
        <v>75.010000000000005</v>
      </c>
      <c r="I395" s="6" t="s">
        <v>2728</v>
      </c>
      <c r="J395" s="6" t="s">
        <v>3067</v>
      </c>
      <c r="K395" s="6" t="s">
        <v>3072</v>
      </c>
      <c r="L395" t="s">
        <v>3468</v>
      </c>
      <c r="M395">
        <v>3</v>
      </c>
      <c r="N395" t="s">
        <v>4285</v>
      </c>
      <c r="O395" t="s">
        <v>4282</v>
      </c>
      <c r="P395">
        <v>75.010000000000005</v>
      </c>
    </row>
    <row r="396" spans="1:16" x14ac:dyDescent="0.3">
      <c r="A396" t="s">
        <v>408</v>
      </c>
      <c r="B396" s="3">
        <v>45112</v>
      </c>
      <c r="C396" s="7" t="str">
        <f t="shared" si="12"/>
        <v>2023</v>
      </c>
      <c r="D396" s="7" t="str">
        <f t="shared" si="13"/>
        <v>Jul</v>
      </c>
      <c r="E396" s="6" t="s">
        <v>1608</v>
      </c>
      <c r="F396" s="5" t="s">
        <v>2409</v>
      </c>
      <c r="G396">
        <v>5</v>
      </c>
      <c r="H396">
        <v>529.54999999999995</v>
      </c>
      <c r="I396" s="6" t="s">
        <v>2729</v>
      </c>
      <c r="J396" s="6" t="s">
        <v>3068</v>
      </c>
      <c r="K396" s="6" t="s">
        <v>3070</v>
      </c>
      <c r="L396" t="s">
        <v>3469</v>
      </c>
      <c r="M396">
        <v>10</v>
      </c>
      <c r="N396" t="s">
        <v>4285</v>
      </c>
      <c r="O396" t="s">
        <v>4281</v>
      </c>
      <c r="P396">
        <v>2647.75</v>
      </c>
    </row>
    <row r="397" spans="1:16" x14ac:dyDescent="0.3">
      <c r="A397" t="s">
        <v>409</v>
      </c>
      <c r="B397" s="3">
        <v>45772</v>
      </c>
      <c r="C397" s="7" t="str">
        <f t="shared" si="12"/>
        <v>2025</v>
      </c>
      <c r="D397" s="7" t="str">
        <f t="shared" si="13"/>
        <v>Apr</v>
      </c>
      <c r="E397" s="6" t="s">
        <v>1609</v>
      </c>
      <c r="F397" s="5" t="s">
        <v>2404</v>
      </c>
      <c r="G397">
        <v>3</v>
      </c>
      <c r="H397">
        <v>127.41</v>
      </c>
      <c r="I397" s="6" t="s">
        <v>2442</v>
      </c>
      <c r="J397" s="6" t="s">
        <v>3068</v>
      </c>
      <c r="K397" s="6" t="s">
        <v>3073</v>
      </c>
      <c r="L397" t="s">
        <v>3470</v>
      </c>
      <c r="M397">
        <v>7</v>
      </c>
      <c r="N397" t="s">
        <v>4275</v>
      </c>
      <c r="O397" t="s">
        <v>4279</v>
      </c>
      <c r="P397">
        <v>382.23</v>
      </c>
    </row>
    <row r="398" spans="1:16" x14ac:dyDescent="0.3">
      <c r="A398" t="s">
        <v>410</v>
      </c>
      <c r="B398" s="3">
        <v>45261</v>
      </c>
      <c r="C398" s="7" t="str">
        <f t="shared" si="12"/>
        <v>2023</v>
      </c>
      <c r="D398" s="7" t="str">
        <f t="shared" si="13"/>
        <v>Dec</v>
      </c>
      <c r="E398" s="6" t="s">
        <v>1610</v>
      </c>
      <c r="F398" s="5" t="s">
        <v>2405</v>
      </c>
      <c r="G398">
        <v>5</v>
      </c>
      <c r="H398">
        <v>287.13</v>
      </c>
      <c r="I398" s="6" t="s">
        <v>2730</v>
      </c>
      <c r="J398" s="6" t="s">
        <v>3066</v>
      </c>
      <c r="K398" s="6" t="s">
        <v>3070</v>
      </c>
      <c r="L398" t="s">
        <v>3471</v>
      </c>
      <c r="M398">
        <v>10</v>
      </c>
      <c r="N398" t="s">
        <v>4275</v>
      </c>
      <c r="O398" t="s">
        <v>4280</v>
      </c>
      <c r="P398">
        <v>1435.65</v>
      </c>
    </row>
    <row r="399" spans="1:16" x14ac:dyDescent="0.3">
      <c r="A399" t="s">
        <v>411</v>
      </c>
      <c r="B399" s="3">
        <v>45197</v>
      </c>
      <c r="C399" s="7" t="str">
        <f t="shared" si="12"/>
        <v>2023</v>
      </c>
      <c r="D399" s="7" t="str">
        <f t="shared" si="13"/>
        <v>Sept</v>
      </c>
      <c r="E399" s="6" t="s">
        <v>1611</v>
      </c>
      <c r="F399" s="5" t="s">
        <v>2403</v>
      </c>
      <c r="G399">
        <v>1</v>
      </c>
      <c r="H399">
        <v>427.06</v>
      </c>
      <c r="I399" s="6" t="s">
        <v>2731</v>
      </c>
      <c r="J399" s="6" t="s">
        <v>3066</v>
      </c>
      <c r="K399" s="6" t="s">
        <v>3071</v>
      </c>
      <c r="L399" t="s">
        <v>3472</v>
      </c>
      <c r="M399">
        <v>1</v>
      </c>
      <c r="N399" t="s">
        <v>4277</v>
      </c>
      <c r="O399" t="s">
        <v>4279</v>
      </c>
      <c r="P399">
        <v>427.06</v>
      </c>
    </row>
    <row r="400" spans="1:16" x14ac:dyDescent="0.3">
      <c r="A400" t="s">
        <v>412</v>
      </c>
      <c r="B400" s="3">
        <v>45539</v>
      </c>
      <c r="C400" s="7" t="str">
        <f t="shared" si="12"/>
        <v>2024</v>
      </c>
      <c r="D400" s="7" t="str">
        <f t="shared" si="13"/>
        <v>Sept</v>
      </c>
      <c r="E400" s="6" t="s">
        <v>1612</v>
      </c>
      <c r="F400" s="5" t="s">
        <v>2404</v>
      </c>
      <c r="G400">
        <v>5</v>
      </c>
      <c r="H400">
        <v>53.93</v>
      </c>
      <c r="I400" s="6" t="s">
        <v>2592</v>
      </c>
      <c r="J400" s="6" t="s">
        <v>3068</v>
      </c>
      <c r="K400" s="6" t="s">
        <v>3070</v>
      </c>
      <c r="L400" t="s">
        <v>3473</v>
      </c>
      <c r="M400">
        <v>7</v>
      </c>
      <c r="N400" t="s">
        <v>4275</v>
      </c>
      <c r="O400" t="s">
        <v>4278</v>
      </c>
      <c r="P400">
        <v>269.64999999999998</v>
      </c>
    </row>
    <row r="401" spans="1:16" x14ac:dyDescent="0.3">
      <c r="A401" t="s">
        <v>413</v>
      </c>
      <c r="B401" s="3">
        <v>45298</v>
      </c>
      <c r="C401" s="7" t="str">
        <f t="shared" si="12"/>
        <v>2024</v>
      </c>
      <c r="D401" s="7" t="str">
        <f t="shared" si="13"/>
        <v>Jan</v>
      </c>
      <c r="E401" s="6" t="s">
        <v>1613</v>
      </c>
      <c r="F401" s="5" t="s">
        <v>2405</v>
      </c>
      <c r="G401">
        <v>5</v>
      </c>
      <c r="H401">
        <v>423.93</v>
      </c>
      <c r="I401" s="6" t="s">
        <v>2732</v>
      </c>
      <c r="J401" s="6" t="s">
        <v>3065</v>
      </c>
      <c r="K401" s="6" t="s">
        <v>3072</v>
      </c>
      <c r="L401" t="s">
        <v>3474</v>
      </c>
      <c r="M401">
        <v>5</v>
      </c>
      <c r="N401" t="s">
        <v>4276</v>
      </c>
      <c r="O401" t="s">
        <v>4281</v>
      </c>
      <c r="P401">
        <v>2119.65</v>
      </c>
    </row>
    <row r="402" spans="1:16" x14ac:dyDescent="0.3">
      <c r="A402" t="s">
        <v>414</v>
      </c>
      <c r="B402" s="3">
        <v>45563</v>
      </c>
      <c r="C402" s="7" t="str">
        <f t="shared" si="12"/>
        <v>2024</v>
      </c>
      <c r="D402" s="7" t="str">
        <f t="shared" si="13"/>
        <v>Sept</v>
      </c>
      <c r="E402" s="6" t="s">
        <v>1614</v>
      </c>
      <c r="F402" s="5" t="s">
        <v>2409</v>
      </c>
      <c r="G402">
        <v>4</v>
      </c>
      <c r="H402">
        <v>160.22</v>
      </c>
      <c r="I402" s="6" t="s">
        <v>2733</v>
      </c>
      <c r="J402" s="6" t="s">
        <v>3065</v>
      </c>
      <c r="K402" s="6" t="s">
        <v>3072</v>
      </c>
      <c r="L402" t="s">
        <v>3475</v>
      </c>
      <c r="M402">
        <v>9</v>
      </c>
      <c r="N402" t="s">
        <v>4277</v>
      </c>
      <c r="O402" t="s">
        <v>4278</v>
      </c>
      <c r="P402">
        <v>640.88</v>
      </c>
    </row>
    <row r="403" spans="1:16" x14ac:dyDescent="0.3">
      <c r="A403" t="s">
        <v>415</v>
      </c>
      <c r="B403" s="3">
        <v>45756</v>
      </c>
      <c r="C403" s="7" t="str">
        <f t="shared" si="12"/>
        <v>2025</v>
      </c>
      <c r="D403" s="7" t="str">
        <f t="shared" si="13"/>
        <v>Apr</v>
      </c>
      <c r="E403" s="6" t="s">
        <v>1615</v>
      </c>
      <c r="F403" s="5" t="s">
        <v>2407</v>
      </c>
      <c r="G403">
        <v>1</v>
      </c>
      <c r="H403">
        <v>538.67999999999995</v>
      </c>
      <c r="I403" s="6" t="s">
        <v>2713</v>
      </c>
      <c r="J403" s="6" t="s">
        <v>3065</v>
      </c>
      <c r="K403" s="6" t="s">
        <v>3072</v>
      </c>
      <c r="L403" t="s">
        <v>3476</v>
      </c>
      <c r="M403">
        <v>6</v>
      </c>
      <c r="N403" t="s">
        <v>4285</v>
      </c>
      <c r="O403" t="s">
        <v>4279</v>
      </c>
      <c r="P403">
        <v>538.67999999999995</v>
      </c>
    </row>
    <row r="404" spans="1:16" x14ac:dyDescent="0.3">
      <c r="A404" t="s">
        <v>416</v>
      </c>
      <c r="B404" s="3">
        <v>45025</v>
      </c>
      <c r="C404" s="7" t="str">
        <f t="shared" si="12"/>
        <v>2023</v>
      </c>
      <c r="D404" s="7" t="str">
        <f t="shared" si="13"/>
        <v>Apr</v>
      </c>
      <c r="E404" s="6" t="s">
        <v>1616</v>
      </c>
      <c r="F404" s="5" t="s">
        <v>2407</v>
      </c>
      <c r="G404">
        <v>5</v>
      </c>
      <c r="H404">
        <v>337.38</v>
      </c>
      <c r="I404" s="6" t="s">
        <v>2734</v>
      </c>
      <c r="J404" s="6" t="s">
        <v>3068</v>
      </c>
      <c r="K404" s="6" t="s">
        <v>3070</v>
      </c>
      <c r="L404" t="s">
        <v>3477</v>
      </c>
      <c r="M404">
        <v>5</v>
      </c>
      <c r="N404" t="s">
        <v>4285</v>
      </c>
      <c r="O404" t="s">
        <v>4279</v>
      </c>
      <c r="P404">
        <v>1686.9</v>
      </c>
    </row>
    <row r="405" spans="1:16" x14ac:dyDescent="0.3">
      <c r="A405" t="s">
        <v>417</v>
      </c>
      <c r="B405" s="3">
        <v>45606</v>
      </c>
      <c r="C405" s="7" t="str">
        <f t="shared" si="12"/>
        <v>2024</v>
      </c>
      <c r="D405" s="7" t="str">
        <f t="shared" si="13"/>
        <v>Nov</v>
      </c>
      <c r="E405" s="6" t="s">
        <v>1617</v>
      </c>
      <c r="F405" s="5" t="s">
        <v>2405</v>
      </c>
      <c r="G405">
        <v>1</v>
      </c>
      <c r="H405">
        <v>620.21</v>
      </c>
      <c r="I405" s="6" t="s">
        <v>2650</v>
      </c>
      <c r="J405" s="6" t="s">
        <v>3066</v>
      </c>
      <c r="K405" s="6" t="s">
        <v>3072</v>
      </c>
      <c r="L405" t="s">
        <v>3478</v>
      </c>
      <c r="M405">
        <v>1</v>
      </c>
      <c r="N405" t="s">
        <v>4276</v>
      </c>
      <c r="O405" t="s">
        <v>4279</v>
      </c>
      <c r="P405">
        <v>620.21</v>
      </c>
    </row>
    <row r="406" spans="1:16" x14ac:dyDescent="0.3">
      <c r="A406" t="s">
        <v>418</v>
      </c>
      <c r="B406" s="3">
        <v>44994</v>
      </c>
      <c r="C406" s="7" t="str">
        <f t="shared" si="12"/>
        <v>2023</v>
      </c>
      <c r="D406" s="7" t="str">
        <f t="shared" si="13"/>
        <v>Mar</v>
      </c>
      <c r="E406" s="6" t="s">
        <v>1618</v>
      </c>
      <c r="F406" s="5" t="s">
        <v>2403</v>
      </c>
      <c r="G406">
        <v>2</v>
      </c>
      <c r="H406">
        <v>99.1</v>
      </c>
      <c r="I406" s="6" t="s">
        <v>2473</v>
      </c>
      <c r="J406" s="6" t="s">
        <v>3069</v>
      </c>
      <c r="K406" s="6" t="s">
        <v>3073</v>
      </c>
      <c r="L406" t="s">
        <v>3479</v>
      </c>
      <c r="M406">
        <v>6</v>
      </c>
      <c r="N406" t="s">
        <v>4285</v>
      </c>
      <c r="O406" t="s">
        <v>4278</v>
      </c>
      <c r="P406">
        <v>198.2</v>
      </c>
    </row>
    <row r="407" spans="1:16" x14ac:dyDescent="0.3">
      <c r="A407" t="s">
        <v>419</v>
      </c>
      <c r="B407" s="3">
        <v>45683</v>
      </c>
      <c r="C407" s="7" t="str">
        <f t="shared" si="12"/>
        <v>2025</v>
      </c>
      <c r="D407" s="7" t="str">
        <f t="shared" si="13"/>
        <v>Jan</v>
      </c>
      <c r="E407" s="6" t="s">
        <v>1619</v>
      </c>
      <c r="F407" s="5" t="s">
        <v>2403</v>
      </c>
      <c r="G407">
        <v>4</v>
      </c>
      <c r="H407">
        <v>451.97</v>
      </c>
      <c r="I407" s="6" t="s">
        <v>2715</v>
      </c>
      <c r="J407" s="6" t="s">
        <v>3066</v>
      </c>
      <c r="K407" s="6" t="s">
        <v>3071</v>
      </c>
      <c r="L407" t="s">
        <v>3480</v>
      </c>
      <c r="M407">
        <v>7</v>
      </c>
      <c r="N407" t="s">
        <v>4277</v>
      </c>
      <c r="O407" t="s">
        <v>4280</v>
      </c>
      <c r="P407">
        <v>1807.88</v>
      </c>
    </row>
    <row r="408" spans="1:16" x14ac:dyDescent="0.3">
      <c r="A408" t="s">
        <v>420</v>
      </c>
      <c r="B408" s="3">
        <v>45270</v>
      </c>
      <c r="C408" s="7" t="str">
        <f t="shared" si="12"/>
        <v>2023</v>
      </c>
      <c r="D408" s="7" t="str">
        <f t="shared" si="13"/>
        <v>Dec</v>
      </c>
      <c r="E408" s="6" t="s">
        <v>1620</v>
      </c>
      <c r="F408" s="5" t="s">
        <v>2405</v>
      </c>
      <c r="G408">
        <v>4</v>
      </c>
      <c r="H408">
        <v>66.099999999999994</v>
      </c>
      <c r="I408" s="6" t="s">
        <v>2577</v>
      </c>
      <c r="J408" s="6" t="s">
        <v>3069</v>
      </c>
      <c r="K408" s="6" t="s">
        <v>3072</v>
      </c>
      <c r="L408" t="s">
        <v>3481</v>
      </c>
      <c r="M408">
        <v>9</v>
      </c>
      <c r="N408" t="s">
        <v>4277</v>
      </c>
      <c r="O408" t="s">
        <v>4282</v>
      </c>
      <c r="P408">
        <v>264.39999999999998</v>
      </c>
    </row>
    <row r="409" spans="1:16" x14ac:dyDescent="0.3">
      <c r="A409" t="s">
        <v>421</v>
      </c>
      <c r="B409" s="3">
        <v>45151</v>
      </c>
      <c r="C409" s="7" t="str">
        <f t="shared" si="12"/>
        <v>2023</v>
      </c>
      <c r="D409" s="7" t="str">
        <f t="shared" si="13"/>
        <v>Aug</v>
      </c>
      <c r="E409" s="6" t="s">
        <v>1621</v>
      </c>
      <c r="F409" s="5" t="s">
        <v>2405</v>
      </c>
      <c r="G409">
        <v>4</v>
      </c>
      <c r="H409">
        <v>547.32000000000005</v>
      </c>
      <c r="I409" s="6" t="s">
        <v>2634</v>
      </c>
      <c r="J409" s="6" t="s">
        <v>3069</v>
      </c>
      <c r="K409" s="6" t="s">
        <v>3072</v>
      </c>
      <c r="L409" t="s">
        <v>3482</v>
      </c>
      <c r="M409">
        <v>8</v>
      </c>
      <c r="N409" t="s">
        <v>4276</v>
      </c>
      <c r="O409" t="s">
        <v>4278</v>
      </c>
      <c r="P409">
        <v>2189.2800000000002</v>
      </c>
    </row>
    <row r="410" spans="1:16" x14ac:dyDescent="0.3">
      <c r="A410" t="s">
        <v>422</v>
      </c>
      <c r="B410" s="3">
        <v>45658</v>
      </c>
      <c r="C410" s="7" t="str">
        <f t="shared" si="12"/>
        <v>2025</v>
      </c>
      <c r="D410" s="7" t="str">
        <f t="shared" si="13"/>
        <v>Jan</v>
      </c>
      <c r="E410" s="6" t="s">
        <v>1622</v>
      </c>
      <c r="F410" s="5" t="s">
        <v>2407</v>
      </c>
      <c r="G410">
        <v>3</v>
      </c>
      <c r="H410">
        <v>412.53</v>
      </c>
      <c r="I410" s="6" t="s">
        <v>2735</v>
      </c>
      <c r="J410" s="6" t="s">
        <v>3066</v>
      </c>
      <c r="K410" s="6" t="s">
        <v>3074</v>
      </c>
      <c r="L410" t="s">
        <v>3483</v>
      </c>
      <c r="M410">
        <v>6</v>
      </c>
      <c r="N410" t="s">
        <v>4277</v>
      </c>
      <c r="O410" t="s">
        <v>4282</v>
      </c>
      <c r="P410">
        <v>1237.5899999999999</v>
      </c>
    </row>
    <row r="411" spans="1:16" x14ac:dyDescent="0.3">
      <c r="A411" t="s">
        <v>423</v>
      </c>
      <c r="B411" s="3">
        <v>45105</v>
      </c>
      <c r="C411" s="7" t="str">
        <f t="shared" si="12"/>
        <v>2023</v>
      </c>
      <c r="D411" s="7" t="str">
        <f t="shared" si="13"/>
        <v>Jun</v>
      </c>
      <c r="E411" s="6" t="s">
        <v>1623</v>
      </c>
      <c r="F411" s="5" t="s">
        <v>2409</v>
      </c>
      <c r="G411">
        <v>5</v>
      </c>
      <c r="H411">
        <v>84.13</v>
      </c>
      <c r="I411" s="6" t="s">
        <v>2736</v>
      </c>
      <c r="J411" s="6" t="s">
        <v>3066</v>
      </c>
      <c r="K411" s="6" t="s">
        <v>3073</v>
      </c>
      <c r="L411" t="s">
        <v>3484</v>
      </c>
      <c r="M411">
        <v>9</v>
      </c>
      <c r="N411" t="s">
        <v>4275</v>
      </c>
      <c r="O411" t="s">
        <v>4282</v>
      </c>
      <c r="P411">
        <v>420.65</v>
      </c>
    </row>
    <row r="412" spans="1:16" x14ac:dyDescent="0.3">
      <c r="A412" t="s">
        <v>424</v>
      </c>
      <c r="B412" s="3">
        <v>45309</v>
      </c>
      <c r="C412" s="7" t="str">
        <f t="shared" si="12"/>
        <v>2024</v>
      </c>
      <c r="D412" s="7" t="str">
        <f t="shared" si="13"/>
        <v>Jan</v>
      </c>
      <c r="E412" s="6" t="s">
        <v>1624</v>
      </c>
      <c r="F412" s="5" t="s">
        <v>2405</v>
      </c>
      <c r="G412">
        <v>2</v>
      </c>
      <c r="H412">
        <v>518.23</v>
      </c>
      <c r="I412" s="6" t="s">
        <v>2737</v>
      </c>
      <c r="J412" s="6" t="s">
        <v>3065</v>
      </c>
      <c r="K412" s="6" t="s">
        <v>3070</v>
      </c>
      <c r="L412" t="s">
        <v>3485</v>
      </c>
      <c r="M412">
        <v>5</v>
      </c>
      <c r="N412" t="s">
        <v>4285</v>
      </c>
      <c r="O412" t="s">
        <v>4280</v>
      </c>
      <c r="P412">
        <v>1036.46</v>
      </c>
    </row>
    <row r="413" spans="1:16" x14ac:dyDescent="0.3">
      <c r="A413" t="s">
        <v>425</v>
      </c>
      <c r="B413" s="3">
        <v>45462</v>
      </c>
      <c r="C413" s="7" t="str">
        <f t="shared" si="12"/>
        <v>2024</v>
      </c>
      <c r="D413" s="7" t="str">
        <f t="shared" si="13"/>
        <v>Jun</v>
      </c>
      <c r="E413" s="6" t="s">
        <v>1625</v>
      </c>
      <c r="F413" s="5" t="s">
        <v>2409</v>
      </c>
      <c r="G413">
        <v>2</v>
      </c>
      <c r="H413">
        <v>39.51</v>
      </c>
      <c r="I413" s="6" t="s">
        <v>2549</v>
      </c>
      <c r="J413" s="6" t="s">
        <v>3066</v>
      </c>
      <c r="K413" s="6" t="s">
        <v>3070</v>
      </c>
      <c r="L413" t="s">
        <v>3486</v>
      </c>
      <c r="M413">
        <v>5</v>
      </c>
      <c r="N413" t="s">
        <v>4285</v>
      </c>
      <c r="O413" t="s">
        <v>4281</v>
      </c>
      <c r="P413">
        <v>79.02</v>
      </c>
    </row>
    <row r="414" spans="1:16" x14ac:dyDescent="0.3">
      <c r="A414" t="s">
        <v>426</v>
      </c>
      <c r="B414" s="3">
        <v>45758</v>
      </c>
      <c r="C414" s="7" t="str">
        <f t="shared" si="12"/>
        <v>2025</v>
      </c>
      <c r="D414" s="7" t="str">
        <f t="shared" si="13"/>
        <v>Apr</v>
      </c>
      <c r="E414" s="6" t="s">
        <v>1626</v>
      </c>
      <c r="F414" s="5" t="s">
        <v>2405</v>
      </c>
      <c r="G414">
        <v>5</v>
      </c>
      <c r="H414">
        <v>133.01</v>
      </c>
      <c r="I414" s="6" t="s">
        <v>2738</v>
      </c>
      <c r="J414" s="6" t="s">
        <v>3067</v>
      </c>
      <c r="K414" s="6" t="s">
        <v>3072</v>
      </c>
      <c r="L414" t="s">
        <v>3487</v>
      </c>
      <c r="M414">
        <v>10</v>
      </c>
      <c r="N414" t="s">
        <v>4285</v>
      </c>
      <c r="O414" t="s">
        <v>4281</v>
      </c>
      <c r="P414">
        <v>665.05</v>
      </c>
    </row>
    <row r="415" spans="1:16" x14ac:dyDescent="0.3">
      <c r="A415" t="s">
        <v>427</v>
      </c>
      <c r="B415" s="3">
        <v>45207</v>
      </c>
      <c r="C415" s="7" t="str">
        <f t="shared" si="12"/>
        <v>2023</v>
      </c>
      <c r="D415" s="7" t="str">
        <f t="shared" si="13"/>
        <v>Oct</v>
      </c>
      <c r="E415" s="6" t="s">
        <v>1627</v>
      </c>
      <c r="F415" s="5" t="s">
        <v>2405</v>
      </c>
      <c r="G415">
        <v>1</v>
      </c>
      <c r="H415">
        <v>118.8</v>
      </c>
      <c r="I415" s="6" t="s">
        <v>2739</v>
      </c>
      <c r="J415" s="6" t="s">
        <v>3066</v>
      </c>
      <c r="K415" s="6" t="s">
        <v>3073</v>
      </c>
      <c r="L415" t="s">
        <v>3488</v>
      </c>
      <c r="M415">
        <v>6</v>
      </c>
      <c r="N415" t="s">
        <v>4275</v>
      </c>
      <c r="O415" t="s">
        <v>4280</v>
      </c>
      <c r="P415">
        <v>118.8</v>
      </c>
    </row>
    <row r="416" spans="1:16" x14ac:dyDescent="0.3">
      <c r="A416" t="s">
        <v>428</v>
      </c>
      <c r="B416" s="3">
        <v>45781</v>
      </c>
      <c r="C416" s="7" t="str">
        <f t="shared" si="12"/>
        <v>2025</v>
      </c>
      <c r="D416" s="7" t="str">
        <f t="shared" si="13"/>
        <v>May</v>
      </c>
      <c r="E416" s="6" t="s">
        <v>1628</v>
      </c>
      <c r="F416" s="5" t="s">
        <v>2409</v>
      </c>
      <c r="G416">
        <v>2</v>
      </c>
      <c r="H416">
        <v>139.57</v>
      </c>
      <c r="I416" s="6" t="s">
        <v>2740</v>
      </c>
      <c r="J416" s="6" t="s">
        <v>3069</v>
      </c>
      <c r="K416" s="6" t="s">
        <v>3073</v>
      </c>
      <c r="L416" t="s">
        <v>3489</v>
      </c>
      <c r="M416">
        <v>4</v>
      </c>
      <c r="N416" t="s">
        <v>4277</v>
      </c>
      <c r="O416" t="s">
        <v>4281</v>
      </c>
      <c r="P416">
        <v>279.14</v>
      </c>
    </row>
    <row r="417" spans="1:16" x14ac:dyDescent="0.3">
      <c r="A417" t="s">
        <v>429</v>
      </c>
      <c r="B417" s="3">
        <v>45753</v>
      </c>
      <c r="C417" s="7" t="str">
        <f t="shared" si="12"/>
        <v>2025</v>
      </c>
      <c r="D417" s="7" t="str">
        <f t="shared" si="13"/>
        <v>Apr</v>
      </c>
      <c r="E417" s="6" t="s">
        <v>1629</v>
      </c>
      <c r="F417" s="5" t="s">
        <v>2406</v>
      </c>
      <c r="G417">
        <v>1</v>
      </c>
      <c r="H417">
        <v>184.15</v>
      </c>
      <c r="I417" s="6" t="s">
        <v>2639</v>
      </c>
      <c r="J417" s="6" t="s">
        <v>3068</v>
      </c>
      <c r="K417" s="6" t="s">
        <v>3070</v>
      </c>
      <c r="L417" t="s">
        <v>3490</v>
      </c>
      <c r="M417">
        <v>5</v>
      </c>
      <c r="N417" t="s">
        <v>4276</v>
      </c>
      <c r="O417" t="s">
        <v>4281</v>
      </c>
      <c r="P417">
        <v>184.15</v>
      </c>
    </row>
    <row r="418" spans="1:16" x14ac:dyDescent="0.3">
      <c r="A418" t="s">
        <v>430</v>
      </c>
      <c r="B418" s="3">
        <v>45125</v>
      </c>
      <c r="C418" s="7" t="str">
        <f t="shared" si="12"/>
        <v>2023</v>
      </c>
      <c r="D418" s="7" t="str">
        <f t="shared" si="13"/>
        <v>Jul</v>
      </c>
      <c r="E418" s="6" t="s">
        <v>1630</v>
      </c>
      <c r="F418" s="5" t="s">
        <v>2408</v>
      </c>
      <c r="G418">
        <v>2</v>
      </c>
      <c r="H418">
        <v>644.04999999999995</v>
      </c>
      <c r="I418" s="6" t="s">
        <v>2741</v>
      </c>
      <c r="J418" s="6" t="s">
        <v>3068</v>
      </c>
      <c r="K418" s="6" t="s">
        <v>3071</v>
      </c>
      <c r="L418" t="s">
        <v>3491</v>
      </c>
      <c r="M418">
        <v>5</v>
      </c>
      <c r="N418" t="s">
        <v>4277</v>
      </c>
      <c r="O418" t="s">
        <v>4279</v>
      </c>
      <c r="P418">
        <v>1288.0999999999999</v>
      </c>
    </row>
    <row r="419" spans="1:16" x14ac:dyDescent="0.3">
      <c r="A419" t="s">
        <v>431</v>
      </c>
      <c r="B419" s="3">
        <v>45223</v>
      </c>
      <c r="C419" s="7" t="str">
        <f t="shared" si="12"/>
        <v>2023</v>
      </c>
      <c r="D419" s="7" t="str">
        <f t="shared" si="13"/>
        <v>Oct</v>
      </c>
      <c r="E419" s="6" t="s">
        <v>1631</v>
      </c>
      <c r="F419" s="5" t="s">
        <v>2408</v>
      </c>
      <c r="G419">
        <v>5</v>
      </c>
      <c r="H419">
        <v>55.41</v>
      </c>
      <c r="I419" s="6" t="s">
        <v>2742</v>
      </c>
      <c r="J419" s="6" t="s">
        <v>3066</v>
      </c>
      <c r="K419" s="6" t="s">
        <v>3071</v>
      </c>
      <c r="L419" t="s">
        <v>3492</v>
      </c>
      <c r="M419">
        <v>5</v>
      </c>
      <c r="N419" t="s">
        <v>4285</v>
      </c>
      <c r="O419" t="s">
        <v>4282</v>
      </c>
      <c r="P419">
        <v>277.05</v>
      </c>
    </row>
    <row r="420" spans="1:16" x14ac:dyDescent="0.3">
      <c r="A420" t="s">
        <v>432</v>
      </c>
      <c r="B420" s="3">
        <v>44937</v>
      </c>
      <c r="C420" s="7" t="str">
        <f t="shared" si="12"/>
        <v>2023</v>
      </c>
      <c r="D420" s="7" t="str">
        <f t="shared" si="13"/>
        <v>Jan</v>
      </c>
      <c r="E420" s="6" t="s">
        <v>1632</v>
      </c>
      <c r="F420" s="5" t="s">
        <v>2407</v>
      </c>
      <c r="G420">
        <v>1</v>
      </c>
      <c r="H420">
        <v>310.93</v>
      </c>
      <c r="I420" s="6" t="s">
        <v>2743</v>
      </c>
      <c r="J420" s="6" t="s">
        <v>3066</v>
      </c>
      <c r="K420" s="6" t="s">
        <v>3071</v>
      </c>
      <c r="L420" t="s">
        <v>3493</v>
      </c>
      <c r="M420">
        <v>3</v>
      </c>
      <c r="N420" t="s">
        <v>4285</v>
      </c>
      <c r="O420" t="s">
        <v>4281</v>
      </c>
      <c r="P420">
        <v>310.93</v>
      </c>
    </row>
    <row r="421" spans="1:16" x14ac:dyDescent="0.3">
      <c r="A421" t="s">
        <v>433</v>
      </c>
      <c r="B421" s="3">
        <v>45399</v>
      </c>
      <c r="C421" s="7" t="str">
        <f t="shared" si="12"/>
        <v>2024</v>
      </c>
      <c r="D421" s="7" t="str">
        <f t="shared" si="13"/>
        <v>Apr</v>
      </c>
      <c r="E421" s="6" t="s">
        <v>1633</v>
      </c>
      <c r="F421" s="5" t="s">
        <v>2405</v>
      </c>
      <c r="G421">
        <v>2</v>
      </c>
      <c r="H421">
        <v>216.66</v>
      </c>
      <c r="I421" s="6" t="s">
        <v>2701</v>
      </c>
      <c r="J421" s="6" t="s">
        <v>3065</v>
      </c>
      <c r="K421" s="6" t="s">
        <v>3074</v>
      </c>
      <c r="L421" t="s">
        <v>3494</v>
      </c>
      <c r="M421">
        <v>6</v>
      </c>
      <c r="N421" t="s">
        <v>4276</v>
      </c>
      <c r="O421" t="s">
        <v>4278</v>
      </c>
      <c r="P421">
        <v>433.32</v>
      </c>
    </row>
    <row r="422" spans="1:16" x14ac:dyDescent="0.3">
      <c r="A422" t="s">
        <v>434</v>
      </c>
      <c r="B422" s="3">
        <v>45625</v>
      </c>
      <c r="C422" s="7" t="str">
        <f t="shared" si="12"/>
        <v>2024</v>
      </c>
      <c r="D422" s="7" t="str">
        <f t="shared" si="13"/>
        <v>Nov</v>
      </c>
      <c r="E422" s="6" t="s">
        <v>1634</v>
      </c>
      <c r="F422" s="5" t="s">
        <v>2404</v>
      </c>
      <c r="G422">
        <v>1</v>
      </c>
      <c r="H422">
        <v>452.7</v>
      </c>
      <c r="I422" s="6" t="s">
        <v>2744</v>
      </c>
      <c r="J422" s="6" t="s">
        <v>3065</v>
      </c>
      <c r="K422" s="6" t="s">
        <v>3070</v>
      </c>
      <c r="L422" t="s">
        <v>3495</v>
      </c>
      <c r="M422">
        <v>5</v>
      </c>
      <c r="N422" t="s">
        <v>4276</v>
      </c>
      <c r="O422" t="s">
        <v>4278</v>
      </c>
      <c r="P422">
        <v>452.7</v>
      </c>
    </row>
    <row r="423" spans="1:16" x14ac:dyDescent="0.3">
      <c r="A423" t="s">
        <v>435</v>
      </c>
      <c r="B423" s="3">
        <v>45214</v>
      </c>
      <c r="C423" s="7" t="str">
        <f t="shared" si="12"/>
        <v>2023</v>
      </c>
      <c r="D423" s="7" t="str">
        <f t="shared" si="13"/>
        <v>Oct</v>
      </c>
      <c r="E423" s="6" t="s">
        <v>1635</v>
      </c>
      <c r="F423" s="5" t="s">
        <v>2406</v>
      </c>
      <c r="G423">
        <v>2</v>
      </c>
      <c r="H423">
        <v>288.20999999999998</v>
      </c>
      <c r="I423" s="6" t="s">
        <v>2745</v>
      </c>
      <c r="J423" s="6" t="s">
        <v>3065</v>
      </c>
      <c r="K423" s="6" t="s">
        <v>3071</v>
      </c>
      <c r="L423" t="s">
        <v>3496</v>
      </c>
      <c r="M423">
        <v>5</v>
      </c>
      <c r="N423" t="s">
        <v>4285</v>
      </c>
      <c r="O423" t="s">
        <v>4280</v>
      </c>
      <c r="P423">
        <v>576.41999999999996</v>
      </c>
    </row>
    <row r="424" spans="1:16" x14ac:dyDescent="0.3">
      <c r="A424" t="s">
        <v>436</v>
      </c>
      <c r="B424" s="3">
        <v>45082</v>
      </c>
      <c r="C424" s="7" t="str">
        <f t="shared" si="12"/>
        <v>2023</v>
      </c>
      <c r="D424" s="7" t="str">
        <f t="shared" si="13"/>
        <v>Jun</v>
      </c>
      <c r="E424" s="6" t="s">
        <v>1636</v>
      </c>
      <c r="F424" s="5" t="s">
        <v>2404</v>
      </c>
      <c r="G424">
        <v>4</v>
      </c>
      <c r="H424">
        <v>206.6</v>
      </c>
      <c r="I424" s="6" t="s">
        <v>2426</v>
      </c>
      <c r="J424" s="6" t="s">
        <v>3068</v>
      </c>
      <c r="K424" s="6" t="s">
        <v>3072</v>
      </c>
      <c r="L424" t="s">
        <v>3497</v>
      </c>
      <c r="M424">
        <v>6</v>
      </c>
      <c r="N424" t="s">
        <v>4277</v>
      </c>
      <c r="O424" t="s">
        <v>4279</v>
      </c>
      <c r="P424">
        <v>826.4</v>
      </c>
    </row>
    <row r="425" spans="1:16" x14ac:dyDescent="0.3">
      <c r="A425" t="s">
        <v>437</v>
      </c>
      <c r="B425" s="3">
        <v>45493</v>
      </c>
      <c r="C425" s="7" t="str">
        <f t="shared" si="12"/>
        <v>2024</v>
      </c>
      <c r="D425" s="7" t="str">
        <f t="shared" si="13"/>
        <v>Jul</v>
      </c>
      <c r="E425" s="6" t="s">
        <v>1637</v>
      </c>
      <c r="F425" s="5" t="s">
        <v>2407</v>
      </c>
      <c r="G425">
        <v>4</v>
      </c>
      <c r="H425">
        <v>685.2</v>
      </c>
      <c r="I425" s="6" t="s">
        <v>2651</v>
      </c>
      <c r="J425" s="6" t="s">
        <v>3068</v>
      </c>
      <c r="K425" s="6" t="s">
        <v>3071</v>
      </c>
      <c r="L425" t="s">
        <v>3498</v>
      </c>
      <c r="M425">
        <v>6</v>
      </c>
      <c r="N425" t="s">
        <v>4277</v>
      </c>
      <c r="O425" t="s">
        <v>4282</v>
      </c>
      <c r="P425">
        <v>2740.8</v>
      </c>
    </row>
    <row r="426" spans="1:16" x14ac:dyDescent="0.3">
      <c r="A426" t="s">
        <v>438</v>
      </c>
      <c r="B426" s="3">
        <v>45028</v>
      </c>
      <c r="C426" s="7" t="str">
        <f t="shared" si="12"/>
        <v>2023</v>
      </c>
      <c r="D426" s="7" t="str">
        <f t="shared" si="13"/>
        <v>Apr</v>
      </c>
      <c r="E426" s="6" t="s">
        <v>1638</v>
      </c>
      <c r="F426" s="5" t="s">
        <v>2406</v>
      </c>
      <c r="G426">
        <v>5</v>
      </c>
      <c r="H426">
        <v>22.94</v>
      </c>
      <c r="I426" s="6" t="s">
        <v>2678</v>
      </c>
      <c r="J426" s="6" t="s">
        <v>3069</v>
      </c>
      <c r="K426" s="6" t="s">
        <v>3074</v>
      </c>
      <c r="L426" t="s">
        <v>3499</v>
      </c>
      <c r="M426">
        <v>10</v>
      </c>
      <c r="N426" t="s">
        <v>4285</v>
      </c>
      <c r="O426" t="s">
        <v>4280</v>
      </c>
      <c r="P426">
        <v>114.7</v>
      </c>
    </row>
    <row r="427" spans="1:16" x14ac:dyDescent="0.3">
      <c r="A427" t="s">
        <v>439</v>
      </c>
      <c r="B427" s="3">
        <v>44994</v>
      </c>
      <c r="C427" s="7" t="str">
        <f t="shared" si="12"/>
        <v>2023</v>
      </c>
      <c r="D427" s="7" t="str">
        <f t="shared" si="13"/>
        <v>Mar</v>
      </c>
      <c r="E427" s="6" t="s">
        <v>1639</v>
      </c>
      <c r="F427" s="5" t="s">
        <v>2408</v>
      </c>
      <c r="G427">
        <v>2</v>
      </c>
      <c r="H427">
        <v>301.88</v>
      </c>
      <c r="I427" s="6" t="s">
        <v>2746</v>
      </c>
      <c r="J427" s="6" t="s">
        <v>3068</v>
      </c>
      <c r="K427" s="6" t="s">
        <v>3072</v>
      </c>
      <c r="L427" t="s">
        <v>3500</v>
      </c>
      <c r="M427">
        <v>5</v>
      </c>
      <c r="N427" t="s">
        <v>4277</v>
      </c>
      <c r="O427" t="s">
        <v>4280</v>
      </c>
      <c r="P427">
        <v>603.76</v>
      </c>
    </row>
    <row r="428" spans="1:16" x14ac:dyDescent="0.3">
      <c r="A428" t="s">
        <v>440</v>
      </c>
      <c r="B428" s="3">
        <v>45732</v>
      </c>
      <c r="C428" s="7" t="str">
        <f t="shared" si="12"/>
        <v>2025</v>
      </c>
      <c r="D428" s="7" t="str">
        <f t="shared" si="13"/>
        <v>Mar</v>
      </c>
      <c r="E428" s="6" t="s">
        <v>1640</v>
      </c>
      <c r="F428" s="5" t="s">
        <v>2403</v>
      </c>
      <c r="G428">
        <v>5</v>
      </c>
      <c r="H428">
        <v>57.45</v>
      </c>
      <c r="I428" s="6" t="s">
        <v>2747</v>
      </c>
      <c r="J428" s="6" t="s">
        <v>3069</v>
      </c>
      <c r="K428" s="6" t="s">
        <v>3071</v>
      </c>
      <c r="L428" t="s">
        <v>3501</v>
      </c>
      <c r="M428">
        <v>10</v>
      </c>
      <c r="N428" t="s">
        <v>4285</v>
      </c>
      <c r="O428" t="s">
        <v>4281</v>
      </c>
      <c r="P428">
        <v>287.25</v>
      </c>
    </row>
    <row r="429" spans="1:16" x14ac:dyDescent="0.3">
      <c r="A429" t="s">
        <v>441</v>
      </c>
      <c r="B429" s="3">
        <v>45644</v>
      </c>
      <c r="C429" s="7" t="str">
        <f t="shared" si="12"/>
        <v>2024</v>
      </c>
      <c r="D429" s="7" t="str">
        <f t="shared" si="13"/>
        <v>Dec</v>
      </c>
      <c r="E429" s="6" t="s">
        <v>1641</v>
      </c>
      <c r="F429" s="5" t="s">
        <v>2409</v>
      </c>
      <c r="G429">
        <v>1</v>
      </c>
      <c r="H429">
        <v>161.24</v>
      </c>
      <c r="I429" s="6" t="s">
        <v>2748</v>
      </c>
      <c r="J429" s="6" t="s">
        <v>3067</v>
      </c>
      <c r="K429" s="6" t="s">
        <v>3074</v>
      </c>
      <c r="L429" t="s">
        <v>3502</v>
      </c>
      <c r="M429">
        <v>3</v>
      </c>
      <c r="N429" t="s">
        <v>4277</v>
      </c>
      <c r="O429" t="s">
        <v>4278</v>
      </c>
      <c r="P429">
        <v>161.24</v>
      </c>
    </row>
    <row r="430" spans="1:16" x14ac:dyDescent="0.3">
      <c r="A430" t="s">
        <v>442</v>
      </c>
      <c r="B430" s="3">
        <v>45622</v>
      </c>
      <c r="C430" s="7" t="str">
        <f t="shared" si="12"/>
        <v>2024</v>
      </c>
      <c r="D430" s="7" t="str">
        <f t="shared" si="13"/>
        <v>Nov</v>
      </c>
      <c r="E430" s="6" t="s">
        <v>1642</v>
      </c>
      <c r="F430" s="5" t="s">
        <v>2406</v>
      </c>
      <c r="G430">
        <v>4</v>
      </c>
      <c r="H430">
        <v>262.58</v>
      </c>
      <c r="I430" s="6" t="s">
        <v>2440</v>
      </c>
      <c r="J430" s="6" t="s">
        <v>3066</v>
      </c>
      <c r="K430" s="6" t="s">
        <v>3071</v>
      </c>
      <c r="L430" t="s">
        <v>3503</v>
      </c>
      <c r="M430">
        <v>8</v>
      </c>
      <c r="N430" t="s">
        <v>4277</v>
      </c>
      <c r="O430" t="s">
        <v>4280</v>
      </c>
      <c r="P430">
        <v>1050.32</v>
      </c>
    </row>
    <row r="431" spans="1:16" x14ac:dyDescent="0.3">
      <c r="A431" t="s">
        <v>443</v>
      </c>
      <c r="B431" s="3">
        <v>45645</v>
      </c>
      <c r="C431" s="7" t="str">
        <f t="shared" si="12"/>
        <v>2024</v>
      </c>
      <c r="D431" s="7" t="str">
        <f t="shared" si="13"/>
        <v>Dec</v>
      </c>
      <c r="E431" s="6" t="s">
        <v>1643</v>
      </c>
      <c r="F431" s="5" t="s">
        <v>2407</v>
      </c>
      <c r="G431">
        <v>4</v>
      </c>
      <c r="H431">
        <v>515.19000000000005</v>
      </c>
      <c r="I431" s="6" t="s">
        <v>2511</v>
      </c>
      <c r="J431" s="6" t="s">
        <v>3067</v>
      </c>
      <c r="K431" s="6" t="s">
        <v>3074</v>
      </c>
      <c r="L431" t="s">
        <v>3504</v>
      </c>
      <c r="M431">
        <v>9</v>
      </c>
      <c r="N431" t="s">
        <v>4275</v>
      </c>
      <c r="O431" t="s">
        <v>4281</v>
      </c>
      <c r="P431">
        <v>2060.7600000000002</v>
      </c>
    </row>
    <row r="432" spans="1:16" x14ac:dyDescent="0.3">
      <c r="A432" t="s">
        <v>444</v>
      </c>
      <c r="B432" s="3">
        <v>45084</v>
      </c>
      <c r="C432" s="7" t="str">
        <f t="shared" si="12"/>
        <v>2023</v>
      </c>
      <c r="D432" s="7" t="str">
        <f t="shared" si="13"/>
        <v>Jun</v>
      </c>
      <c r="E432" s="6" t="s">
        <v>1644</v>
      </c>
      <c r="F432" s="5" t="s">
        <v>2404</v>
      </c>
      <c r="G432">
        <v>1</v>
      </c>
      <c r="H432">
        <v>450.07</v>
      </c>
      <c r="I432" s="6" t="s">
        <v>2749</v>
      </c>
      <c r="J432" s="6" t="s">
        <v>3068</v>
      </c>
      <c r="K432" s="6" t="s">
        <v>3070</v>
      </c>
      <c r="L432" t="s">
        <v>3505</v>
      </c>
      <c r="M432">
        <v>6</v>
      </c>
      <c r="N432" t="s">
        <v>4276</v>
      </c>
      <c r="O432" t="s">
        <v>4282</v>
      </c>
      <c r="P432">
        <v>450.07</v>
      </c>
    </row>
    <row r="433" spans="1:16" x14ac:dyDescent="0.3">
      <c r="A433" t="s">
        <v>445</v>
      </c>
      <c r="B433" s="3">
        <v>45571</v>
      </c>
      <c r="C433" s="7" t="str">
        <f t="shared" si="12"/>
        <v>2024</v>
      </c>
      <c r="D433" s="7" t="str">
        <f t="shared" si="13"/>
        <v>Oct</v>
      </c>
      <c r="E433" s="6" t="s">
        <v>1645</v>
      </c>
      <c r="F433" s="5" t="s">
        <v>2407</v>
      </c>
      <c r="G433">
        <v>1</v>
      </c>
      <c r="H433">
        <v>52.54</v>
      </c>
      <c r="I433" s="6" t="s">
        <v>2553</v>
      </c>
      <c r="J433" s="6" t="s">
        <v>3065</v>
      </c>
      <c r="K433" s="6" t="s">
        <v>3071</v>
      </c>
      <c r="L433" t="s">
        <v>3506</v>
      </c>
      <c r="M433">
        <v>6</v>
      </c>
      <c r="N433" t="s">
        <v>4277</v>
      </c>
      <c r="O433" t="s">
        <v>4281</v>
      </c>
      <c r="P433">
        <v>52.54</v>
      </c>
    </row>
    <row r="434" spans="1:16" x14ac:dyDescent="0.3">
      <c r="A434" t="s">
        <v>446</v>
      </c>
      <c r="B434" s="3">
        <v>45173</v>
      </c>
      <c r="C434" s="7" t="str">
        <f t="shared" si="12"/>
        <v>2023</v>
      </c>
      <c r="D434" s="7" t="str">
        <f t="shared" si="13"/>
        <v>Sept</v>
      </c>
      <c r="E434" s="6" t="s">
        <v>1646</v>
      </c>
      <c r="F434" s="5" t="s">
        <v>2405</v>
      </c>
      <c r="G434">
        <v>2</v>
      </c>
      <c r="H434">
        <v>424.32</v>
      </c>
      <c r="I434" s="6" t="s">
        <v>2750</v>
      </c>
      <c r="J434" s="6" t="s">
        <v>3067</v>
      </c>
      <c r="K434" s="6" t="s">
        <v>3072</v>
      </c>
      <c r="L434" t="s">
        <v>3507</v>
      </c>
      <c r="M434">
        <v>6</v>
      </c>
      <c r="N434" t="s">
        <v>4285</v>
      </c>
      <c r="O434" t="s">
        <v>4279</v>
      </c>
      <c r="P434">
        <v>848.64</v>
      </c>
    </row>
    <row r="435" spans="1:16" x14ac:dyDescent="0.3">
      <c r="A435" t="s">
        <v>447</v>
      </c>
      <c r="B435" s="3">
        <v>45164</v>
      </c>
      <c r="C435" s="7" t="str">
        <f t="shared" si="12"/>
        <v>2023</v>
      </c>
      <c r="D435" s="7" t="str">
        <f t="shared" si="13"/>
        <v>Aug</v>
      </c>
      <c r="E435" s="6" t="s">
        <v>1647</v>
      </c>
      <c r="F435" s="5" t="s">
        <v>2403</v>
      </c>
      <c r="G435">
        <v>3</v>
      </c>
      <c r="H435">
        <v>631.64</v>
      </c>
      <c r="I435" s="6" t="s">
        <v>2624</v>
      </c>
      <c r="J435" s="6" t="s">
        <v>3067</v>
      </c>
      <c r="K435" s="6" t="s">
        <v>3072</v>
      </c>
      <c r="L435" t="s">
        <v>3508</v>
      </c>
      <c r="M435">
        <v>3</v>
      </c>
      <c r="N435" t="s">
        <v>4276</v>
      </c>
      <c r="O435" t="s">
        <v>4281</v>
      </c>
      <c r="P435">
        <v>1894.92</v>
      </c>
    </row>
    <row r="436" spans="1:16" x14ac:dyDescent="0.3">
      <c r="A436" t="s">
        <v>448</v>
      </c>
      <c r="B436" s="3">
        <v>45221</v>
      </c>
      <c r="C436" s="7" t="str">
        <f t="shared" si="12"/>
        <v>2023</v>
      </c>
      <c r="D436" s="7" t="str">
        <f t="shared" si="13"/>
        <v>Oct</v>
      </c>
      <c r="E436" s="6" t="s">
        <v>1648</v>
      </c>
      <c r="F436" s="5" t="s">
        <v>2407</v>
      </c>
      <c r="G436">
        <v>5</v>
      </c>
      <c r="H436">
        <v>327.68</v>
      </c>
      <c r="I436" s="6" t="s">
        <v>2475</v>
      </c>
      <c r="J436" s="6" t="s">
        <v>3067</v>
      </c>
      <c r="K436" s="6" t="s">
        <v>3072</v>
      </c>
      <c r="L436" t="s">
        <v>3509</v>
      </c>
      <c r="M436">
        <v>6</v>
      </c>
      <c r="N436" t="s">
        <v>4285</v>
      </c>
      <c r="O436" t="s">
        <v>4281</v>
      </c>
      <c r="P436">
        <v>1638.4</v>
      </c>
    </row>
    <row r="437" spans="1:16" x14ac:dyDescent="0.3">
      <c r="A437" t="s">
        <v>449</v>
      </c>
      <c r="B437" s="3">
        <v>45073</v>
      </c>
      <c r="C437" s="7" t="str">
        <f t="shared" si="12"/>
        <v>2023</v>
      </c>
      <c r="D437" s="7" t="str">
        <f t="shared" si="13"/>
        <v>May</v>
      </c>
      <c r="E437" s="6" t="s">
        <v>1649</v>
      </c>
      <c r="F437" s="5" t="s">
        <v>2407</v>
      </c>
      <c r="G437">
        <v>1</v>
      </c>
      <c r="H437">
        <v>414.47</v>
      </c>
      <c r="I437" s="6" t="s">
        <v>2677</v>
      </c>
      <c r="J437" s="6" t="s">
        <v>3065</v>
      </c>
      <c r="K437" s="6" t="s">
        <v>3072</v>
      </c>
      <c r="L437" t="s">
        <v>3510</v>
      </c>
      <c r="M437">
        <v>3</v>
      </c>
      <c r="N437" t="s">
        <v>4276</v>
      </c>
      <c r="O437" t="s">
        <v>4278</v>
      </c>
      <c r="P437">
        <v>414.47</v>
      </c>
    </row>
    <row r="438" spans="1:16" x14ac:dyDescent="0.3">
      <c r="A438" t="s">
        <v>450</v>
      </c>
      <c r="B438" s="3">
        <v>44968</v>
      </c>
      <c r="C438" s="7" t="str">
        <f t="shared" si="12"/>
        <v>2023</v>
      </c>
      <c r="D438" s="7" t="str">
        <f t="shared" si="13"/>
        <v>Feb</v>
      </c>
      <c r="E438" s="6" t="s">
        <v>1650</v>
      </c>
      <c r="F438" s="5" t="s">
        <v>2408</v>
      </c>
      <c r="G438">
        <v>4</v>
      </c>
      <c r="H438">
        <v>221.33</v>
      </c>
      <c r="I438" s="6" t="s">
        <v>2553</v>
      </c>
      <c r="J438" s="6" t="s">
        <v>3066</v>
      </c>
      <c r="K438" s="6" t="s">
        <v>3074</v>
      </c>
      <c r="L438" t="s">
        <v>3511</v>
      </c>
      <c r="M438">
        <v>5</v>
      </c>
      <c r="N438" t="s">
        <v>4285</v>
      </c>
      <c r="O438" t="s">
        <v>4282</v>
      </c>
      <c r="P438">
        <v>885.32</v>
      </c>
    </row>
    <row r="439" spans="1:16" x14ac:dyDescent="0.3">
      <c r="A439" t="s">
        <v>451</v>
      </c>
      <c r="B439" s="3">
        <v>45400</v>
      </c>
      <c r="C439" s="7" t="str">
        <f t="shared" si="12"/>
        <v>2024</v>
      </c>
      <c r="D439" s="7" t="str">
        <f t="shared" si="13"/>
        <v>Apr</v>
      </c>
      <c r="E439" s="6" t="s">
        <v>1651</v>
      </c>
      <c r="F439" s="5" t="s">
        <v>2404</v>
      </c>
      <c r="G439">
        <v>1</v>
      </c>
      <c r="H439">
        <v>512.39</v>
      </c>
      <c r="I439" s="6" t="s">
        <v>2751</v>
      </c>
      <c r="J439" s="6" t="s">
        <v>3066</v>
      </c>
      <c r="K439" s="6" t="s">
        <v>3073</v>
      </c>
      <c r="L439" t="s">
        <v>3512</v>
      </c>
      <c r="M439">
        <v>2</v>
      </c>
      <c r="N439" t="s">
        <v>4276</v>
      </c>
      <c r="O439" t="s">
        <v>4278</v>
      </c>
      <c r="P439">
        <v>512.39</v>
      </c>
    </row>
    <row r="440" spans="1:16" x14ac:dyDescent="0.3">
      <c r="A440" t="s">
        <v>452</v>
      </c>
      <c r="B440" s="3">
        <v>45660</v>
      </c>
      <c r="C440" s="7" t="str">
        <f t="shared" si="12"/>
        <v>2025</v>
      </c>
      <c r="D440" s="7" t="str">
        <f t="shared" si="13"/>
        <v>Jan</v>
      </c>
      <c r="E440" s="6" t="s">
        <v>1652</v>
      </c>
      <c r="F440" s="5" t="s">
        <v>2405</v>
      </c>
      <c r="G440">
        <v>3</v>
      </c>
      <c r="H440">
        <v>459.34</v>
      </c>
      <c r="I440" s="6" t="s">
        <v>2752</v>
      </c>
      <c r="J440" s="6" t="s">
        <v>3068</v>
      </c>
      <c r="K440" s="6" t="s">
        <v>3074</v>
      </c>
      <c r="L440" t="s">
        <v>3513</v>
      </c>
      <c r="M440">
        <v>3</v>
      </c>
      <c r="N440" t="s">
        <v>4275</v>
      </c>
      <c r="O440" t="s">
        <v>4278</v>
      </c>
      <c r="P440">
        <v>1378.02</v>
      </c>
    </row>
    <row r="441" spans="1:16" x14ac:dyDescent="0.3">
      <c r="A441" t="s">
        <v>453</v>
      </c>
      <c r="B441" s="3">
        <v>45543</v>
      </c>
      <c r="C441" s="7" t="str">
        <f t="shared" si="12"/>
        <v>2024</v>
      </c>
      <c r="D441" s="7" t="str">
        <f t="shared" si="13"/>
        <v>Sept</v>
      </c>
      <c r="E441" s="6" t="s">
        <v>1653</v>
      </c>
      <c r="F441" s="5" t="s">
        <v>2405</v>
      </c>
      <c r="G441">
        <v>1</v>
      </c>
      <c r="H441">
        <v>146.32</v>
      </c>
      <c r="I441" s="6" t="s">
        <v>2753</v>
      </c>
      <c r="J441" s="6" t="s">
        <v>3066</v>
      </c>
      <c r="K441" s="6" t="s">
        <v>3070</v>
      </c>
      <c r="L441" t="s">
        <v>3514</v>
      </c>
      <c r="M441">
        <v>4</v>
      </c>
      <c r="N441" t="s">
        <v>4277</v>
      </c>
      <c r="O441" t="s">
        <v>4281</v>
      </c>
      <c r="P441">
        <v>146.32</v>
      </c>
    </row>
    <row r="442" spans="1:16" x14ac:dyDescent="0.3">
      <c r="A442" t="s">
        <v>454</v>
      </c>
      <c r="B442" s="3">
        <v>45601</v>
      </c>
      <c r="C442" s="7" t="str">
        <f t="shared" si="12"/>
        <v>2024</v>
      </c>
      <c r="D442" s="7" t="str">
        <f t="shared" si="13"/>
        <v>Nov</v>
      </c>
      <c r="E442" s="6" t="s">
        <v>1654</v>
      </c>
      <c r="F442" s="5" t="s">
        <v>2409</v>
      </c>
      <c r="G442">
        <v>4</v>
      </c>
      <c r="H442">
        <v>83.6</v>
      </c>
      <c r="I442" s="6" t="s">
        <v>2674</v>
      </c>
      <c r="J442" s="6" t="s">
        <v>3065</v>
      </c>
      <c r="K442" s="6" t="s">
        <v>3074</v>
      </c>
      <c r="L442" t="s">
        <v>3515</v>
      </c>
      <c r="M442">
        <v>4</v>
      </c>
      <c r="N442" t="s">
        <v>4275</v>
      </c>
      <c r="O442" t="s">
        <v>4281</v>
      </c>
      <c r="P442">
        <v>334.4</v>
      </c>
    </row>
    <row r="443" spans="1:16" x14ac:dyDescent="0.3">
      <c r="A443" t="s">
        <v>455</v>
      </c>
      <c r="B443" s="3">
        <v>45273</v>
      </c>
      <c r="C443" s="7" t="str">
        <f t="shared" si="12"/>
        <v>2023</v>
      </c>
      <c r="D443" s="7" t="str">
        <f t="shared" si="13"/>
        <v>Dec</v>
      </c>
      <c r="E443" s="6" t="s">
        <v>1655</v>
      </c>
      <c r="F443" s="5" t="s">
        <v>2407</v>
      </c>
      <c r="G443">
        <v>2</v>
      </c>
      <c r="H443">
        <v>328.54</v>
      </c>
      <c r="I443" s="6" t="s">
        <v>2754</v>
      </c>
      <c r="J443" s="6" t="s">
        <v>3068</v>
      </c>
      <c r="K443" s="6" t="s">
        <v>3072</v>
      </c>
      <c r="L443" t="s">
        <v>3516</v>
      </c>
      <c r="M443">
        <v>6</v>
      </c>
      <c r="N443" t="s">
        <v>4276</v>
      </c>
      <c r="O443" t="s">
        <v>4280</v>
      </c>
      <c r="P443">
        <v>657.08</v>
      </c>
    </row>
    <row r="444" spans="1:16" x14ac:dyDescent="0.3">
      <c r="A444" t="s">
        <v>456</v>
      </c>
      <c r="B444" s="3">
        <v>45418</v>
      </c>
      <c r="C444" s="7" t="str">
        <f t="shared" si="12"/>
        <v>2024</v>
      </c>
      <c r="D444" s="7" t="str">
        <f t="shared" si="13"/>
        <v>May</v>
      </c>
      <c r="E444" s="6" t="s">
        <v>1656</v>
      </c>
      <c r="F444" s="5" t="s">
        <v>2406</v>
      </c>
      <c r="G444">
        <v>5</v>
      </c>
      <c r="H444">
        <v>314.94</v>
      </c>
      <c r="I444" s="6" t="s">
        <v>2755</v>
      </c>
      <c r="J444" s="6" t="s">
        <v>3069</v>
      </c>
      <c r="K444" s="6" t="s">
        <v>3074</v>
      </c>
      <c r="L444" t="s">
        <v>3517</v>
      </c>
      <c r="M444">
        <v>8</v>
      </c>
      <c r="N444" t="s">
        <v>4275</v>
      </c>
      <c r="O444" t="s">
        <v>4278</v>
      </c>
      <c r="P444">
        <v>1574.7</v>
      </c>
    </row>
    <row r="445" spans="1:16" x14ac:dyDescent="0.3">
      <c r="A445" t="s">
        <v>457</v>
      </c>
      <c r="B445" s="3">
        <v>45426</v>
      </c>
      <c r="C445" s="7" t="str">
        <f t="shared" si="12"/>
        <v>2024</v>
      </c>
      <c r="D445" s="7" t="str">
        <f t="shared" si="13"/>
        <v>May</v>
      </c>
      <c r="E445" s="6" t="s">
        <v>1657</v>
      </c>
      <c r="F445" s="5" t="s">
        <v>2406</v>
      </c>
      <c r="G445">
        <v>2</v>
      </c>
      <c r="H445">
        <v>69.64</v>
      </c>
      <c r="I445" s="6" t="s">
        <v>2469</v>
      </c>
      <c r="J445" s="6" t="s">
        <v>3069</v>
      </c>
      <c r="K445" s="6" t="s">
        <v>3072</v>
      </c>
      <c r="L445" t="s">
        <v>3518</v>
      </c>
      <c r="M445">
        <v>6</v>
      </c>
      <c r="N445" t="s">
        <v>4285</v>
      </c>
      <c r="O445" t="s">
        <v>4281</v>
      </c>
      <c r="P445">
        <v>139.28</v>
      </c>
    </row>
    <row r="446" spans="1:16" x14ac:dyDescent="0.3">
      <c r="A446" t="s">
        <v>458</v>
      </c>
      <c r="B446" s="3">
        <v>45451</v>
      </c>
      <c r="C446" s="7" t="str">
        <f t="shared" si="12"/>
        <v>2024</v>
      </c>
      <c r="D446" s="7" t="str">
        <f t="shared" si="13"/>
        <v>Jun</v>
      </c>
      <c r="E446" s="6" t="s">
        <v>1658</v>
      </c>
      <c r="F446" s="5" t="s">
        <v>2407</v>
      </c>
      <c r="G446">
        <v>1</v>
      </c>
      <c r="H446">
        <v>135.16999999999999</v>
      </c>
      <c r="I446" s="6" t="s">
        <v>2756</v>
      </c>
      <c r="J446" s="6" t="s">
        <v>3066</v>
      </c>
      <c r="K446" s="6" t="s">
        <v>3070</v>
      </c>
      <c r="L446" t="s">
        <v>3519</v>
      </c>
      <c r="M446">
        <v>6</v>
      </c>
      <c r="N446" t="s">
        <v>4276</v>
      </c>
      <c r="O446" t="s">
        <v>4278</v>
      </c>
      <c r="P446">
        <v>135.16999999999999</v>
      </c>
    </row>
    <row r="447" spans="1:16" x14ac:dyDescent="0.3">
      <c r="A447" t="s">
        <v>459</v>
      </c>
      <c r="B447" s="3">
        <v>45374</v>
      </c>
      <c r="C447" s="7" t="str">
        <f t="shared" si="12"/>
        <v>2024</v>
      </c>
      <c r="D447" s="7" t="str">
        <f t="shared" si="13"/>
        <v>Mar</v>
      </c>
      <c r="E447" s="6" t="s">
        <v>1659</v>
      </c>
      <c r="F447" s="5" t="s">
        <v>2404</v>
      </c>
      <c r="G447">
        <v>1</v>
      </c>
      <c r="H447">
        <v>487.21</v>
      </c>
      <c r="I447" s="6" t="s">
        <v>2757</v>
      </c>
      <c r="J447" s="6" t="s">
        <v>3069</v>
      </c>
      <c r="K447" s="6" t="s">
        <v>3073</v>
      </c>
      <c r="L447" t="s">
        <v>3520</v>
      </c>
      <c r="M447">
        <v>3</v>
      </c>
      <c r="N447" t="s">
        <v>4275</v>
      </c>
      <c r="O447" t="s">
        <v>4279</v>
      </c>
      <c r="P447">
        <v>487.21</v>
      </c>
    </row>
    <row r="448" spans="1:16" x14ac:dyDescent="0.3">
      <c r="A448" t="s">
        <v>460</v>
      </c>
      <c r="B448" s="3">
        <v>45217</v>
      </c>
      <c r="C448" s="7" t="str">
        <f t="shared" si="12"/>
        <v>2023</v>
      </c>
      <c r="D448" s="7" t="str">
        <f t="shared" si="13"/>
        <v>Oct</v>
      </c>
      <c r="E448" s="6" t="s">
        <v>1660</v>
      </c>
      <c r="F448" s="5" t="s">
        <v>2408</v>
      </c>
      <c r="G448">
        <v>5</v>
      </c>
      <c r="H448">
        <v>509.58</v>
      </c>
      <c r="I448" s="6" t="s">
        <v>2758</v>
      </c>
      <c r="J448" s="6" t="s">
        <v>3066</v>
      </c>
      <c r="K448" s="6" t="s">
        <v>3073</v>
      </c>
      <c r="L448" t="s">
        <v>3521</v>
      </c>
      <c r="M448">
        <v>6</v>
      </c>
      <c r="N448" t="s">
        <v>4276</v>
      </c>
      <c r="O448" t="s">
        <v>4278</v>
      </c>
      <c r="P448">
        <v>2547.9</v>
      </c>
    </row>
    <row r="449" spans="1:16" x14ac:dyDescent="0.3">
      <c r="A449" t="s">
        <v>461</v>
      </c>
      <c r="B449" s="3">
        <v>45389</v>
      </c>
      <c r="C449" s="7" t="str">
        <f t="shared" si="12"/>
        <v>2024</v>
      </c>
      <c r="D449" s="7" t="str">
        <f t="shared" si="13"/>
        <v>Apr</v>
      </c>
      <c r="E449" s="6" t="s">
        <v>1661</v>
      </c>
      <c r="F449" s="5" t="s">
        <v>2407</v>
      </c>
      <c r="G449">
        <v>2</v>
      </c>
      <c r="H449">
        <v>416.81</v>
      </c>
      <c r="I449" s="6" t="s">
        <v>2759</v>
      </c>
      <c r="J449" s="6" t="s">
        <v>3069</v>
      </c>
      <c r="K449" s="6" t="s">
        <v>3072</v>
      </c>
      <c r="L449" t="s">
        <v>3522</v>
      </c>
      <c r="M449">
        <v>2</v>
      </c>
      <c r="N449" t="s">
        <v>4285</v>
      </c>
      <c r="O449" t="s">
        <v>4281</v>
      </c>
      <c r="P449">
        <v>833.62</v>
      </c>
    </row>
    <row r="450" spans="1:16" x14ac:dyDescent="0.3">
      <c r="A450" t="s">
        <v>462</v>
      </c>
      <c r="B450" s="3">
        <v>45173</v>
      </c>
      <c r="C450" s="7" t="str">
        <f t="shared" ref="C450:C513" si="14">TEXT(B450, "yyyy")</f>
        <v>2023</v>
      </c>
      <c r="D450" s="7" t="str">
        <f t="shared" ref="D450:D513" si="15">TEXT(B450, "MMM")</f>
        <v>Sept</v>
      </c>
      <c r="E450" s="6" t="s">
        <v>1662</v>
      </c>
      <c r="F450" s="5" t="s">
        <v>2408</v>
      </c>
      <c r="G450">
        <v>2</v>
      </c>
      <c r="H450">
        <v>160</v>
      </c>
      <c r="I450" s="6" t="s">
        <v>2760</v>
      </c>
      <c r="J450" s="6" t="s">
        <v>3069</v>
      </c>
      <c r="K450" s="6" t="s">
        <v>3074</v>
      </c>
      <c r="L450" t="s">
        <v>3523</v>
      </c>
      <c r="M450">
        <v>4</v>
      </c>
      <c r="N450" t="s">
        <v>4275</v>
      </c>
      <c r="O450" t="s">
        <v>4278</v>
      </c>
      <c r="P450">
        <v>320</v>
      </c>
    </row>
    <row r="451" spans="1:16" x14ac:dyDescent="0.3">
      <c r="A451" t="s">
        <v>463</v>
      </c>
      <c r="B451" s="3">
        <v>45530</v>
      </c>
      <c r="C451" s="7" t="str">
        <f t="shared" si="14"/>
        <v>2024</v>
      </c>
      <c r="D451" s="7" t="str">
        <f t="shared" si="15"/>
        <v>Aug</v>
      </c>
      <c r="E451" s="6" t="s">
        <v>1663</v>
      </c>
      <c r="F451" s="5" t="s">
        <v>2405</v>
      </c>
      <c r="G451">
        <v>3</v>
      </c>
      <c r="H451">
        <v>253.05</v>
      </c>
      <c r="I451" s="6" t="s">
        <v>2761</v>
      </c>
      <c r="J451" s="6" t="s">
        <v>3066</v>
      </c>
      <c r="K451" s="6" t="s">
        <v>3074</v>
      </c>
      <c r="L451" t="s">
        <v>3524</v>
      </c>
      <c r="M451">
        <v>3</v>
      </c>
      <c r="N451" t="s">
        <v>4285</v>
      </c>
      <c r="O451" t="s">
        <v>4278</v>
      </c>
      <c r="P451">
        <v>759.15000000000009</v>
      </c>
    </row>
    <row r="452" spans="1:16" x14ac:dyDescent="0.3">
      <c r="A452" t="s">
        <v>464</v>
      </c>
      <c r="B452" s="3">
        <v>45306</v>
      </c>
      <c r="C452" s="7" t="str">
        <f t="shared" si="14"/>
        <v>2024</v>
      </c>
      <c r="D452" s="7" t="str">
        <f t="shared" si="15"/>
        <v>Jan</v>
      </c>
      <c r="E452" s="6" t="s">
        <v>1664</v>
      </c>
      <c r="F452" s="5" t="s">
        <v>2403</v>
      </c>
      <c r="G452">
        <v>5</v>
      </c>
      <c r="H452">
        <v>615.1</v>
      </c>
      <c r="I452" s="6" t="s">
        <v>2762</v>
      </c>
      <c r="J452" s="6" t="s">
        <v>3068</v>
      </c>
      <c r="K452" s="6" t="s">
        <v>3072</v>
      </c>
      <c r="L452" t="s">
        <v>3525</v>
      </c>
      <c r="M452">
        <v>10</v>
      </c>
      <c r="N452" t="s">
        <v>4277</v>
      </c>
      <c r="O452" t="s">
        <v>4278</v>
      </c>
      <c r="P452">
        <v>3075.5</v>
      </c>
    </row>
    <row r="453" spans="1:16" x14ac:dyDescent="0.3">
      <c r="A453" t="s">
        <v>465</v>
      </c>
      <c r="B453" s="3">
        <v>45017</v>
      </c>
      <c r="C453" s="7" t="str">
        <f t="shared" si="14"/>
        <v>2023</v>
      </c>
      <c r="D453" s="7" t="str">
        <f t="shared" si="15"/>
        <v>Apr</v>
      </c>
      <c r="E453" s="6" t="s">
        <v>1665</v>
      </c>
      <c r="F453" s="5" t="s">
        <v>2403</v>
      </c>
      <c r="G453">
        <v>1</v>
      </c>
      <c r="H453">
        <v>183.18</v>
      </c>
      <c r="I453" s="6" t="s">
        <v>2507</v>
      </c>
      <c r="J453" s="6" t="s">
        <v>3065</v>
      </c>
      <c r="K453" s="6" t="s">
        <v>3071</v>
      </c>
      <c r="L453" t="s">
        <v>3526</v>
      </c>
      <c r="M453">
        <v>6</v>
      </c>
      <c r="N453" t="s">
        <v>4275</v>
      </c>
      <c r="O453" t="s">
        <v>4280</v>
      </c>
      <c r="P453">
        <v>183.18</v>
      </c>
    </row>
    <row r="454" spans="1:16" x14ac:dyDescent="0.3">
      <c r="A454" t="s">
        <v>466</v>
      </c>
      <c r="B454" s="3">
        <v>45130</v>
      </c>
      <c r="C454" s="7" t="str">
        <f t="shared" si="14"/>
        <v>2023</v>
      </c>
      <c r="D454" s="7" t="str">
        <f t="shared" si="15"/>
        <v>Jul</v>
      </c>
      <c r="E454" s="6" t="s">
        <v>1666</v>
      </c>
      <c r="F454" s="5" t="s">
        <v>2407</v>
      </c>
      <c r="G454">
        <v>1</v>
      </c>
      <c r="H454">
        <v>75.78</v>
      </c>
      <c r="I454" s="6" t="s">
        <v>2763</v>
      </c>
      <c r="J454" s="6" t="s">
        <v>3069</v>
      </c>
      <c r="K454" s="6" t="s">
        <v>3074</v>
      </c>
      <c r="L454" t="s">
        <v>3527</v>
      </c>
      <c r="M454">
        <v>5</v>
      </c>
      <c r="N454" t="s">
        <v>4275</v>
      </c>
      <c r="O454" t="s">
        <v>4282</v>
      </c>
      <c r="P454">
        <v>75.78</v>
      </c>
    </row>
    <row r="455" spans="1:16" x14ac:dyDescent="0.3">
      <c r="A455" t="s">
        <v>467</v>
      </c>
      <c r="B455" s="3">
        <v>45779</v>
      </c>
      <c r="C455" s="7" t="str">
        <f t="shared" si="14"/>
        <v>2025</v>
      </c>
      <c r="D455" s="7" t="str">
        <f t="shared" si="15"/>
        <v>May</v>
      </c>
      <c r="E455" s="6" t="s">
        <v>1667</v>
      </c>
      <c r="F455" s="5" t="s">
        <v>2405</v>
      </c>
      <c r="G455">
        <v>1</v>
      </c>
      <c r="H455">
        <v>675.57</v>
      </c>
      <c r="I455" s="6" t="s">
        <v>2764</v>
      </c>
      <c r="J455" s="6" t="s">
        <v>3069</v>
      </c>
      <c r="K455" s="6" t="s">
        <v>3070</v>
      </c>
      <c r="L455" t="s">
        <v>3528</v>
      </c>
      <c r="M455">
        <v>1</v>
      </c>
      <c r="N455" t="s">
        <v>4277</v>
      </c>
      <c r="O455" t="s">
        <v>4281</v>
      </c>
      <c r="P455">
        <v>675.57</v>
      </c>
    </row>
    <row r="456" spans="1:16" x14ac:dyDescent="0.3">
      <c r="A456" t="s">
        <v>468</v>
      </c>
      <c r="B456" s="3">
        <v>45623</v>
      </c>
      <c r="C456" s="7" t="str">
        <f t="shared" si="14"/>
        <v>2024</v>
      </c>
      <c r="D456" s="7" t="str">
        <f t="shared" si="15"/>
        <v>Nov</v>
      </c>
      <c r="E456" s="6" t="s">
        <v>1668</v>
      </c>
      <c r="F456" s="5" t="s">
        <v>2408</v>
      </c>
      <c r="G456">
        <v>1</v>
      </c>
      <c r="H456">
        <v>109.29</v>
      </c>
      <c r="I456" s="6" t="s">
        <v>2765</v>
      </c>
      <c r="J456" s="6" t="s">
        <v>3065</v>
      </c>
      <c r="K456" s="6" t="s">
        <v>3071</v>
      </c>
      <c r="L456" t="s">
        <v>3529</v>
      </c>
      <c r="M456">
        <v>5</v>
      </c>
      <c r="N456" t="s">
        <v>4276</v>
      </c>
      <c r="O456" t="s">
        <v>4282</v>
      </c>
      <c r="P456">
        <v>109.29</v>
      </c>
    </row>
    <row r="457" spans="1:16" x14ac:dyDescent="0.3">
      <c r="A457" t="s">
        <v>469</v>
      </c>
      <c r="B457" s="3">
        <v>45377</v>
      </c>
      <c r="C457" s="7" t="str">
        <f t="shared" si="14"/>
        <v>2024</v>
      </c>
      <c r="D457" s="7" t="str">
        <f t="shared" si="15"/>
        <v>Mar</v>
      </c>
      <c r="E457" s="6" t="s">
        <v>1669</v>
      </c>
      <c r="F457" s="5" t="s">
        <v>2404</v>
      </c>
      <c r="G457">
        <v>1</v>
      </c>
      <c r="H457">
        <v>639.83000000000004</v>
      </c>
      <c r="I457" s="6" t="s">
        <v>2766</v>
      </c>
      <c r="J457" s="6" t="s">
        <v>3065</v>
      </c>
      <c r="K457" s="6" t="s">
        <v>3074</v>
      </c>
      <c r="L457" t="s">
        <v>3530</v>
      </c>
      <c r="M457">
        <v>2</v>
      </c>
      <c r="N457" t="s">
        <v>4275</v>
      </c>
      <c r="O457" t="s">
        <v>4279</v>
      </c>
      <c r="P457">
        <v>639.83000000000004</v>
      </c>
    </row>
    <row r="458" spans="1:16" x14ac:dyDescent="0.3">
      <c r="A458" t="s">
        <v>470</v>
      </c>
      <c r="B458" s="3">
        <v>45103</v>
      </c>
      <c r="C458" s="7" t="str">
        <f t="shared" si="14"/>
        <v>2023</v>
      </c>
      <c r="D458" s="7" t="str">
        <f t="shared" si="15"/>
        <v>Jun</v>
      </c>
      <c r="E458" s="6" t="s">
        <v>1670</v>
      </c>
      <c r="F458" s="5" t="s">
        <v>2409</v>
      </c>
      <c r="G458">
        <v>5</v>
      </c>
      <c r="H458">
        <v>62.81</v>
      </c>
      <c r="I458" s="6" t="s">
        <v>2698</v>
      </c>
      <c r="J458" s="6" t="s">
        <v>3067</v>
      </c>
      <c r="K458" s="6" t="s">
        <v>3070</v>
      </c>
      <c r="L458" t="s">
        <v>3531</v>
      </c>
      <c r="M458">
        <v>9</v>
      </c>
      <c r="N458" t="s">
        <v>4275</v>
      </c>
      <c r="O458" t="s">
        <v>4281</v>
      </c>
      <c r="P458">
        <v>314.05</v>
      </c>
    </row>
    <row r="459" spans="1:16" x14ac:dyDescent="0.3">
      <c r="A459" t="s">
        <v>471</v>
      </c>
      <c r="B459" s="3">
        <v>45802</v>
      </c>
      <c r="C459" s="7" t="str">
        <f t="shared" si="14"/>
        <v>2025</v>
      </c>
      <c r="D459" s="7" t="str">
        <f t="shared" si="15"/>
        <v>May</v>
      </c>
      <c r="E459" s="6" t="s">
        <v>1671</v>
      </c>
      <c r="F459" s="5" t="s">
        <v>2409</v>
      </c>
      <c r="G459">
        <v>4</v>
      </c>
      <c r="H459">
        <v>615.83000000000004</v>
      </c>
      <c r="I459" s="6" t="s">
        <v>2767</v>
      </c>
      <c r="J459" s="6" t="s">
        <v>3066</v>
      </c>
      <c r="K459" s="6" t="s">
        <v>3072</v>
      </c>
      <c r="L459" t="s">
        <v>3532</v>
      </c>
      <c r="M459">
        <v>4</v>
      </c>
      <c r="N459" t="s">
        <v>4277</v>
      </c>
      <c r="O459" t="s">
        <v>4278</v>
      </c>
      <c r="P459">
        <v>2463.3200000000002</v>
      </c>
    </row>
    <row r="460" spans="1:16" x14ac:dyDescent="0.3">
      <c r="A460" t="s">
        <v>472</v>
      </c>
      <c r="B460" s="3">
        <v>45475</v>
      </c>
      <c r="C460" s="7" t="str">
        <f t="shared" si="14"/>
        <v>2024</v>
      </c>
      <c r="D460" s="7" t="str">
        <f t="shared" si="15"/>
        <v>Jul</v>
      </c>
      <c r="E460" s="6" t="s">
        <v>1672</v>
      </c>
      <c r="F460" s="5" t="s">
        <v>2403</v>
      </c>
      <c r="G460">
        <v>4</v>
      </c>
      <c r="H460">
        <v>510.58</v>
      </c>
      <c r="I460" s="6" t="s">
        <v>2495</v>
      </c>
      <c r="J460" s="6" t="s">
        <v>3067</v>
      </c>
      <c r="K460" s="6" t="s">
        <v>3072</v>
      </c>
      <c r="L460" t="s">
        <v>3533</v>
      </c>
      <c r="M460">
        <v>7</v>
      </c>
      <c r="N460" t="s">
        <v>4277</v>
      </c>
      <c r="O460" t="s">
        <v>4280</v>
      </c>
      <c r="P460">
        <v>2042.32</v>
      </c>
    </row>
    <row r="461" spans="1:16" x14ac:dyDescent="0.3">
      <c r="A461" t="s">
        <v>473</v>
      </c>
      <c r="B461" s="3">
        <v>45497</v>
      </c>
      <c r="C461" s="7" t="str">
        <f t="shared" si="14"/>
        <v>2024</v>
      </c>
      <c r="D461" s="7" t="str">
        <f t="shared" si="15"/>
        <v>Jul</v>
      </c>
      <c r="E461" s="6" t="s">
        <v>1673</v>
      </c>
      <c r="F461" s="5" t="s">
        <v>2409</v>
      </c>
      <c r="G461">
        <v>1</v>
      </c>
      <c r="H461">
        <v>334.39</v>
      </c>
      <c r="I461" s="6" t="s">
        <v>2749</v>
      </c>
      <c r="J461" s="6" t="s">
        <v>3067</v>
      </c>
      <c r="K461" s="6" t="s">
        <v>3072</v>
      </c>
      <c r="L461" t="s">
        <v>3534</v>
      </c>
      <c r="M461">
        <v>2</v>
      </c>
      <c r="N461" t="s">
        <v>4285</v>
      </c>
      <c r="O461" t="s">
        <v>4278</v>
      </c>
      <c r="P461">
        <v>334.39</v>
      </c>
    </row>
    <row r="462" spans="1:16" x14ac:dyDescent="0.3">
      <c r="A462" t="s">
        <v>474</v>
      </c>
      <c r="B462" s="3">
        <v>45571</v>
      </c>
      <c r="C462" s="7" t="str">
        <f t="shared" si="14"/>
        <v>2024</v>
      </c>
      <c r="D462" s="7" t="str">
        <f t="shared" si="15"/>
        <v>Oct</v>
      </c>
      <c r="E462" s="6" t="s">
        <v>1674</v>
      </c>
      <c r="F462" s="5" t="s">
        <v>2408</v>
      </c>
      <c r="G462">
        <v>1</v>
      </c>
      <c r="H462">
        <v>144.25</v>
      </c>
      <c r="I462" s="6" t="s">
        <v>2768</v>
      </c>
      <c r="J462" s="6" t="s">
        <v>3069</v>
      </c>
      <c r="K462" s="6" t="s">
        <v>3072</v>
      </c>
      <c r="L462" t="s">
        <v>3535</v>
      </c>
      <c r="M462">
        <v>2</v>
      </c>
      <c r="N462" t="s">
        <v>4277</v>
      </c>
      <c r="O462" t="s">
        <v>4279</v>
      </c>
      <c r="P462">
        <v>144.25</v>
      </c>
    </row>
    <row r="463" spans="1:16" x14ac:dyDescent="0.3">
      <c r="A463" t="s">
        <v>475</v>
      </c>
      <c r="B463" s="3">
        <v>45451</v>
      </c>
      <c r="C463" s="7" t="str">
        <f t="shared" si="14"/>
        <v>2024</v>
      </c>
      <c r="D463" s="7" t="str">
        <f t="shared" si="15"/>
        <v>Jun</v>
      </c>
      <c r="E463" s="6" t="s">
        <v>1675</v>
      </c>
      <c r="F463" s="5" t="s">
        <v>2405</v>
      </c>
      <c r="G463">
        <v>1</v>
      </c>
      <c r="H463">
        <v>401.82</v>
      </c>
      <c r="I463" s="6" t="s">
        <v>2618</v>
      </c>
      <c r="J463" s="6" t="s">
        <v>3067</v>
      </c>
      <c r="K463" s="6" t="s">
        <v>3070</v>
      </c>
      <c r="L463" t="s">
        <v>3536</v>
      </c>
      <c r="M463">
        <v>5</v>
      </c>
      <c r="N463" t="s">
        <v>4276</v>
      </c>
      <c r="O463" t="s">
        <v>4282</v>
      </c>
      <c r="P463">
        <v>401.82</v>
      </c>
    </row>
    <row r="464" spans="1:16" x14ac:dyDescent="0.3">
      <c r="A464" t="s">
        <v>476</v>
      </c>
      <c r="B464" s="3">
        <v>45747</v>
      </c>
      <c r="C464" s="7" t="str">
        <f t="shared" si="14"/>
        <v>2025</v>
      </c>
      <c r="D464" s="7" t="str">
        <f t="shared" si="15"/>
        <v>Mar</v>
      </c>
      <c r="E464" s="6" t="s">
        <v>1676</v>
      </c>
      <c r="F464" s="5" t="s">
        <v>2404</v>
      </c>
      <c r="G464">
        <v>1</v>
      </c>
      <c r="H464">
        <v>252.68</v>
      </c>
      <c r="I464" s="6" t="s">
        <v>2769</v>
      </c>
      <c r="J464" s="6" t="s">
        <v>3066</v>
      </c>
      <c r="K464" s="6" t="s">
        <v>3071</v>
      </c>
      <c r="L464" t="s">
        <v>3537</v>
      </c>
      <c r="M464">
        <v>1</v>
      </c>
      <c r="N464" t="s">
        <v>4285</v>
      </c>
      <c r="O464" t="s">
        <v>4279</v>
      </c>
      <c r="P464">
        <v>252.68</v>
      </c>
    </row>
    <row r="465" spans="1:16" x14ac:dyDescent="0.3">
      <c r="A465" t="s">
        <v>477</v>
      </c>
      <c r="B465" s="3">
        <v>45072</v>
      </c>
      <c r="C465" s="7" t="str">
        <f t="shared" si="14"/>
        <v>2023</v>
      </c>
      <c r="D465" s="7" t="str">
        <f t="shared" si="15"/>
        <v>May</v>
      </c>
      <c r="E465" s="6" t="s">
        <v>1677</v>
      </c>
      <c r="F465" s="5" t="s">
        <v>2408</v>
      </c>
      <c r="G465">
        <v>5</v>
      </c>
      <c r="H465">
        <v>662.78</v>
      </c>
      <c r="I465" s="6" t="s">
        <v>2770</v>
      </c>
      <c r="J465" s="6" t="s">
        <v>3065</v>
      </c>
      <c r="K465" s="6" t="s">
        <v>3070</v>
      </c>
      <c r="L465" t="s">
        <v>3538</v>
      </c>
      <c r="M465">
        <v>9</v>
      </c>
      <c r="N465" t="s">
        <v>4275</v>
      </c>
      <c r="O465" t="s">
        <v>4278</v>
      </c>
      <c r="P465">
        <v>3313.9</v>
      </c>
    </row>
    <row r="466" spans="1:16" x14ac:dyDescent="0.3">
      <c r="A466" t="s">
        <v>478</v>
      </c>
      <c r="B466" s="3">
        <v>44999</v>
      </c>
      <c r="C466" s="7" t="str">
        <f t="shared" si="14"/>
        <v>2023</v>
      </c>
      <c r="D466" s="7" t="str">
        <f t="shared" si="15"/>
        <v>Mar</v>
      </c>
      <c r="E466" s="6" t="s">
        <v>1678</v>
      </c>
      <c r="F466" s="5" t="s">
        <v>2405</v>
      </c>
      <c r="G466">
        <v>4</v>
      </c>
      <c r="H466">
        <v>434.42</v>
      </c>
      <c r="I466" s="6" t="s">
        <v>2771</v>
      </c>
      <c r="J466" s="6" t="s">
        <v>3066</v>
      </c>
      <c r="K466" s="6" t="s">
        <v>3071</v>
      </c>
      <c r="L466" t="s">
        <v>3539</v>
      </c>
      <c r="M466">
        <v>6</v>
      </c>
      <c r="N466" t="s">
        <v>4276</v>
      </c>
      <c r="O466" t="s">
        <v>4282</v>
      </c>
      <c r="P466">
        <v>1737.68</v>
      </c>
    </row>
    <row r="467" spans="1:16" x14ac:dyDescent="0.3">
      <c r="A467" t="s">
        <v>479</v>
      </c>
      <c r="B467" s="3">
        <v>45348</v>
      </c>
      <c r="C467" s="7" t="str">
        <f t="shared" si="14"/>
        <v>2024</v>
      </c>
      <c r="D467" s="7" t="str">
        <f t="shared" si="15"/>
        <v>Feb</v>
      </c>
      <c r="E467" s="6" t="s">
        <v>1679</v>
      </c>
      <c r="F467" s="5" t="s">
        <v>2407</v>
      </c>
      <c r="G467">
        <v>5</v>
      </c>
      <c r="H467">
        <v>513.49</v>
      </c>
      <c r="I467" s="6" t="s">
        <v>2772</v>
      </c>
      <c r="J467" s="6" t="s">
        <v>3068</v>
      </c>
      <c r="K467" s="6" t="s">
        <v>3071</v>
      </c>
      <c r="L467" t="s">
        <v>3540</v>
      </c>
      <c r="M467">
        <v>8</v>
      </c>
      <c r="N467" t="s">
        <v>4285</v>
      </c>
      <c r="O467" t="s">
        <v>4282</v>
      </c>
      <c r="P467">
        <v>2567.4499999999998</v>
      </c>
    </row>
    <row r="468" spans="1:16" x14ac:dyDescent="0.3">
      <c r="A468" t="s">
        <v>480</v>
      </c>
      <c r="B468" s="3">
        <v>45125</v>
      </c>
      <c r="C468" s="7" t="str">
        <f t="shared" si="14"/>
        <v>2023</v>
      </c>
      <c r="D468" s="7" t="str">
        <f t="shared" si="15"/>
        <v>Jul</v>
      </c>
      <c r="E468" s="6" t="s">
        <v>1680</v>
      </c>
      <c r="F468" s="5" t="s">
        <v>2404</v>
      </c>
      <c r="G468">
        <v>1</v>
      </c>
      <c r="H468">
        <v>432.47</v>
      </c>
      <c r="I468" s="6" t="s">
        <v>2440</v>
      </c>
      <c r="J468" s="6" t="s">
        <v>3069</v>
      </c>
      <c r="K468" s="6" t="s">
        <v>3073</v>
      </c>
      <c r="L468" t="s">
        <v>3541</v>
      </c>
      <c r="M468">
        <v>4</v>
      </c>
      <c r="N468" t="s">
        <v>4276</v>
      </c>
      <c r="O468" t="s">
        <v>4279</v>
      </c>
      <c r="P468">
        <v>432.47</v>
      </c>
    </row>
    <row r="469" spans="1:16" x14ac:dyDescent="0.3">
      <c r="A469" t="s">
        <v>481</v>
      </c>
      <c r="B469" s="3">
        <v>45534</v>
      </c>
      <c r="C469" s="7" t="str">
        <f t="shared" si="14"/>
        <v>2024</v>
      </c>
      <c r="D469" s="7" t="str">
        <f t="shared" si="15"/>
        <v>Aug</v>
      </c>
      <c r="E469" s="6" t="s">
        <v>1681</v>
      </c>
      <c r="F469" s="5" t="s">
        <v>2409</v>
      </c>
      <c r="G469">
        <v>1</v>
      </c>
      <c r="H469">
        <v>45.94</v>
      </c>
      <c r="I469" s="6" t="s">
        <v>2577</v>
      </c>
      <c r="J469" s="6" t="s">
        <v>3069</v>
      </c>
      <c r="K469" s="6" t="s">
        <v>3071</v>
      </c>
      <c r="L469" t="s">
        <v>3542</v>
      </c>
      <c r="M469">
        <v>2</v>
      </c>
      <c r="N469" t="s">
        <v>4277</v>
      </c>
      <c r="O469" t="s">
        <v>4280</v>
      </c>
      <c r="P469">
        <v>45.94</v>
      </c>
    </row>
    <row r="470" spans="1:16" x14ac:dyDescent="0.3">
      <c r="A470" t="s">
        <v>482</v>
      </c>
      <c r="B470" s="3">
        <v>45829</v>
      </c>
      <c r="C470" s="7" t="str">
        <f t="shared" si="14"/>
        <v>2025</v>
      </c>
      <c r="D470" s="7" t="str">
        <f t="shared" si="15"/>
        <v>Jun</v>
      </c>
      <c r="E470" s="6" t="s">
        <v>1682</v>
      </c>
      <c r="F470" s="5" t="s">
        <v>2404</v>
      </c>
      <c r="G470">
        <v>1</v>
      </c>
      <c r="H470">
        <v>418.36</v>
      </c>
      <c r="I470" s="6" t="s">
        <v>2773</v>
      </c>
      <c r="J470" s="6" t="s">
        <v>3067</v>
      </c>
      <c r="K470" s="6" t="s">
        <v>3073</v>
      </c>
      <c r="L470" t="s">
        <v>3543</v>
      </c>
      <c r="M470">
        <v>5</v>
      </c>
      <c r="N470" t="s">
        <v>4276</v>
      </c>
      <c r="O470" t="s">
        <v>4280</v>
      </c>
      <c r="P470">
        <v>418.36</v>
      </c>
    </row>
    <row r="471" spans="1:16" x14ac:dyDescent="0.3">
      <c r="A471" t="s">
        <v>483</v>
      </c>
      <c r="B471" s="3">
        <v>45256</v>
      </c>
      <c r="C471" s="7" t="str">
        <f t="shared" si="14"/>
        <v>2023</v>
      </c>
      <c r="D471" s="7" t="str">
        <f t="shared" si="15"/>
        <v>Nov</v>
      </c>
      <c r="E471" s="6" t="s">
        <v>1683</v>
      </c>
      <c r="F471" s="5" t="s">
        <v>2406</v>
      </c>
      <c r="G471">
        <v>5</v>
      </c>
      <c r="H471">
        <v>676.98</v>
      </c>
      <c r="I471" s="6" t="s">
        <v>2546</v>
      </c>
      <c r="J471" s="6" t="s">
        <v>3069</v>
      </c>
      <c r="K471" s="6" t="s">
        <v>3071</v>
      </c>
      <c r="L471" t="s">
        <v>3544</v>
      </c>
      <c r="M471">
        <v>5</v>
      </c>
      <c r="N471" t="s">
        <v>4285</v>
      </c>
      <c r="O471" t="s">
        <v>4281</v>
      </c>
      <c r="P471">
        <v>3384.9</v>
      </c>
    </row>
    <row r="472" spans="1:16" x14ac:dyDescent="0.3">
      <c r="A472" t="s">
        <v>484</v>
      </c>
      <c r="B472" s="3">
        <v>45198</v>
      </c>
      <c r="C472" s="7" t="str">
        <f t="shared" si="14"/>
        <v>2023</v>
      </c>
      <c r="D472" s="7" t="str">
        <f t="shared" si="15"/>
        <v>Sept</v>
      </c>
      <c r="E472" s="6" t="s">
        <v>1684</v>
      </c>
      <c r="F472" s="5" t="s">
        <v>2405</v>
      </c>
      <c r="G472">
        <v>4</v>
      </c>
      <c r="H472">
        <v>263.62</v>
      </c>
      <c r="I472" s="6" t="s">
        <v>2774</v>
      </c>
      <c r="J472" s="6" t="s">
        <v>3069</v>
      </c>
      <c r="K472" s="6" t="s">
        <v>3070</v>
      </c>
      <c r="L472" t="s">
        <v>3545</v>
      </c>
      <c r="M472">
        <v>5</v>
      </c>
      <c r="N472" t="s">
        <v>4275</v>
      </c>
      <c r="O472" t="s">
        <v>4280</v>
      </c>
      <c r="P472">
        <v>1054.48</v>
      </c>
    </row>
    <row r="473" spans="1:16" x14ac:dyDescent="0.3">
      <c r="A473" t="s">
        <v>485</v>
      </c>
      <c r="B473" s="3">
        <v>45766</v>
      </c>
      <c r="C473" s="7" t="str">
        <f t="shared" si="14"/>
        <v>2025</v>
      </c>
      <c r="D473" s="7" t="str">
        <f t="shared" si="15"/>
        <v>Apr</v>
      </c>
      <c r="E473" s="6" t="s">
        <v>1685</v>
      </c>
      <c r="F473" s="5" t="s">
        <v>2409</v>
      </c>
      <c r="G473">
        <v>5</v>
      </c>
      <c r="H473">
        <v>551.27</v>
      </c>
      <c r="I473" s="6" t="s">
        <v>2775</v>
      </c>
      <c r="J473" s="6" t="s">
        <v>3066</v>
      </c>
      <c r="K473" s="6" t="s">
        <v>3071</v>
      </c>
      <c r="L473" t="s">
        <v>3546</v>
      </c>
      <c r="M473">
        <v>7</v>
      </c>
      <c r="N473" t="s">
        <v>4276</v>
      </c>
      <c r="O473" t="s">
        <v>4279</v>
      </c>
      <c r="P473">
        <v>2756.35</v>
      </c>
    </row>
    <row r="474" spans="1:16" x14ac:dyDescent="0.3">
      <c r="A474" t="s">
        <v>486</v>
      </c>
      <c r="B474" s="3">
        <v>44932</v>
      </c>
      <c r="C474" s="7" t="str">
        <f t="shared" si="14"/>
        <v>2023</v>
      </c>
      <c r="D474" s="7" t="str">
        <f t="shared" si="15"/>
        <v>Jan</v>
      </c>
      <c r="E474" s="6" t="s">
        <v>1686</v>
      </c>
      <c r="F474" s="5" t="s">
        <v>2406</v>
      </c>
      <c r="G474">
        <v>3</v>
      </c>
      <c r="H474">
        <v>508.12</v>
      </c>
      <c r="I474" s="6" t="s">
        <v>2776</v>
      </c>
      <c r="J474" s="6" t="s">
        <v>3067</v>
      </c>
      <c r="K474" s="6" t="s">
        <v>3071</v>
      </c>
      <c r="L474" t="s">
        <v>3547</v>
      </c>
      <c r="M474">
        <v>8</v>
      </c>
      <c r="N474" t="s">
        <v>4276</v>
      </c>
      <c r="O474" t="s">
        <v>4279</v>
      </c>
      <c r="P474">
        <v>1524.36</v>
      </c>
    </row>
    <row r="475" spans="1:16" x14ac:dyDescent="0.3">
      <c r="A475" t="s">
        <v>487</v>
      </c>
      <c r="B475" s="3">
        <v>45713</v>
      </c>
      <c r="C475" s="7" t="str">
        <f t="shared" si="14"/>
        <v>2025</v>
      </c>
      <c r="D475" s="7" t="str">
        <f t="shared" si="15"/>
        <v>Feb</v>
      </c>
      <c r="E475" s="6" t="s">
        <v>1687</v>
      </c>
      <c r="F475" s="5" t="s">
        <v>2406</v>
      </c>
      <c r="G475">
        <v>2</v>
      </c>
      <c r="H475">
        <v>14.93</v>
      </c>
      <c r="I475" s="6" t="s">
        <v>2777</v>
      </c>
      <c r="J475" s="6" t="s">
        <v>3066</v>
      </c>
      <c r="K475" s="6" t="s">
        <v>3070</v>
      </c>
      <c r="L475" t="s">
        <v>3548</v>
      </c>
      <c r="M475">
        <v>4</v>
      </c>
      <c r="N475" t="s">
        <v>4285</v>
      </c>
      <c r="O475" t="s">
        <v>4281</v>
      </c>
      <c r="P475">
        <v>29.86</v>
      </c>
    </row>
    <row r="476" spans="1:16" x14ac:dyDescent="0.3">
      <c r="A476" t="s">
        <v>488</v>
      </c>
      <c r="B476" s="3">
        <v>45245</v>
      </c>
      <c r="C476" s="7" t="str">
        <f t="shared" si="14"/>
        <v>2023</v>
      </c>
      <c r="D476" s="7" t="str">
        <f t="shared" si="15"/>
        <v>Nov</v>
      </c>
      <c r="E476" s="6" t="s">
        <v>1688</v>
      </c>
      <c r="F476" s="5" t="s">
        <v>2407</v>
      </c>
      <c r="G476">
        <v>3</v>
      </c>
      <c r="H476">
        <v>229.34</v>
      </c>
      <c r="I476" s="6" t="s">
        <v>2692</v>
      </c>
      <c r="J476" s="6" t="s">
        <v>3067</v>
      </c>
      <c r="K476" s="6" t="s">
        <v>3070</v>
      </c>
      <c r="L476" t="s">
        <v>3549</v>
      </c>
      <c r="M476">
        <v>6</v>
      </c>
      <c r="N476" t="s">
        <v>4275</v>
      </c>
      <c r="O476" t="s">
        <v>4279</v>
      </c>
      <c r="P476">
        <v>688.02</v>
      </c>
    </row>
    <row r="477" spans="1:16" x14ac:dyDescent="0.3">
      <c r="A477" t="s">
        <v>489</v>
      </c>
      <c r="B477" s="3">
        <v>45766</v>
      </c>
      <c r="C477" s="7" t="str">
        <f t="shared" si="14"/>
        <v>2025</v>
      </c>
      <c r="D477" s="7" t="str">
        <f t="shared" si="15"/>
        <v>Apr</v>
      </c>
      <c r="E477" s="6" t="s">
        <v>1689</v>
      </c>
      <c r="F477" s="5" t="s">
        <v>2405</v>
      </c>
      <c r="G477">
        <v>2</v>
      </c>
      <c r="H477">
        <v>438.62</v>
      </c>
      <c r="I477" s="6" t="s">
        <v>2778</v>
      </c>
      <c r="J477" s="6" t="s">
        <v>3069</v>
      </c>
      <c r="K477" s="6" t="s">
        <v>3071</v>
      </c>
      <c r="L477" t="s">
        <v>3550</v>
      </c>
      <c r="M477">
        <v>3</v>
      </c>
      <c r="N477" t="s">
        <v>4275</v>
      </c>
      <c r="O477" t="s">
        <v>4281</v>
      </c>
      <c r="P477">
        <v>877.24</v>
      </c>
    </row>
    <row r="478" spans="1:16" x14ac:dyDescent="0.3">
      <c r="A478" t="s">
        <v>490</v>
      </c>
      <c r="B478" s="3">
        <v>45306</v>
      </c>
      <c r="C478" s="7" t="str">
        <f t="shared" si="14"/>
        <v>2024</v>
      </c>
      <c r="D478" s="7" t="str">
        <f t="shared" si="15"/>
        <v>Jan</v>
      </c>
      <c r="E478" s="6" t="s">
        <v>1690</v>
      </c>
      <c r="F478" s="5" t="s">
        <v>2404</v>
      </c>
      <c r="G478">
        <v>2</v>
      </c>
      <c r="H478">
        <v>513.59</v>
      </c>
      <c r="I478" s="6" t="s">
        <v>2779</v>
      </c>
      <c r="J478" s="6" t="s">
        <v>3066</v>
      </c>
      <c r="K478" s="6" t="s">
        <v>3072</v>
      </c>
      <c r="L478" t="s">
        <v>3551</v>
      </c>
      <c r="M478">
        <v>4</v>
      </c>
      <c r="N478" t="s">
        <v>4276</v>
      </c>
      <c r="O478" t="s">
        <v>4279</v>
      </c>
      <c r="P478">
        <v>1027.18</v>
      </c>
    </row>
    <row r="479" spans="1:16" x14ac:dyDescent="0.3">
      <c r="A479" t="s">
        <v>491</v>
      </c>
      <c r="B479" s="3">
        <v>45721</v>
      </c>
      <c r="C479" s="7" t="str">
        <f t="shared" si="14"/>
        <v>2025</v>
      </c>
      <c r="D479" s="7" t="str">
        <f t="shared" si="15"/>
        <v>Mar</v>
      </c>
      <c r="E479" s="6" t="s">
        <v>1691</v>
      </c>
      <c r="F479" s="5" t="s">
        <v>2404</v>
      </c>
      <c r="G479">
        <v>2</v>
      </c>
      <c r="H479">
        <v>253.74</v>
      </c>
      <c r="I479" s="6" t="s">
        <v>2780</v>
      </c>
      <c r="J479" s="6" t="s">
        <v>3066</v>
      </c>
      <c r="K479" s="6" t="s">
        <v>3070</v>
      </c>
      <c r="L479" t="s">
        <v>3552</v>
      </c>
      <c r="M479">
        <v>5</v>
      </c>
      <c r="N479" t="s">
        <v>4275</v>
      </c>
      <c r="O479" t="s">
        <v>4282</v>
      </c>
      <c r="P479">
        <v>507.48</v>
      </c>
    </row>
    <row r="480" spans="1:16" x14ac:dyDescent="0.3">
      <c r="A480" t="s">
        <v>492</v>
      </c>
      <c r="B480" s="3">
        <v>45597</v>
      </c>
      <c r="C480" s="7" t="str">
        <f t="shared" si="14"/>
        <v>2024</v>
      </c>
      <c r="D480" s="7" t="str">
        <f t="shared" si="15"/>
        <v>Nov</v>
      </c>
      <c r="E480" s="6" t="s">
        <v>1692</v>
      </c>
      <c r="F480" s="5" t="s">
        <v>2405</v>
      </c>
      <c r="G480">
        <v>3</v>
      </c>
      <c r="H480">
        <v>62.77</v>
      </c>
      <c r="I480" s="6" t="s">
        <v>2426</v>
      </c>
      <c r="J480" s="6" t="s">
        <v>3068</v>
      </c>
      <c r="K480" s="6" t="s">
        <v>3070</v>
      </c>
      <c r="L480" t="s">
        <v>3553</v>
      </c>
      <c r="M480">
        <v>6</v>
      </c>
      <c r="N480" t="s">
        <v>4276</v>
      </c>
      <c r="O480" t="s">
        <v>4279</v>
      </c>
      <c r="P480">
        <v>188.31</v>
      </c>
    </row>
    <row r="481" spans="1:16" x14ac:dyDescent="0.3">
      <c r="A481" t="s">
        <v>493</v>
      </c>
      <c r="B481" s="3">
        <v>44975</v>
      </c>
      <c r="C481" s="7" t="str">
        <f t="shared" si="14"/>
        <v>2023</v>
      </c>
      <c r="D481" s="7" t="str">
        <f t="shared" si="15"/>
        <v>Feb</v>
      </c>
      <c r="E481" s="6" t="s">
        <v>1693</v>
      </c>
      <c r="F481" s="5" t="s">
        <v>2403</v>
      </c>
      <c r="G481">
        <v>4</v>
      </c>
      <c r="H481">
        <v>25.29</v>
      </c>
      <c r="I481" s="6" t="s">
        <v>2781</v>
      </c>
      <c r="J481" s="6" t="s">
        <v>3067</v>
      </c>
      <c r="K481" s="6" t="s">
        <v>3074</v>
      </c>
      <c r="L481" t="s">
        <v>3554</v>
      </c>
      <c r="M481">
        <v>8</v>
      </c>
      <c r="N481" t="s">
        <v>4285</v>
      </c>
      <c r="O481" t="s">
        <v>4282</v>
      </c>
      <c r="P481">
        <v>101.16</v>
      </c>
    </row>
    <row r="482" spans="1:16" x14ac:dyDescent="0.3">
      <c r="A482" t="s">
        <v>494</v>
      </c>
      <c r="B482" s="3">
        <v>45093</v>
      </c>
      <c r="C482" s="7" t="str">
        <f t="shared" si="14"/>
        <v>2023</v>
      </c>
      <c r="D482" s="7" t="str">
        <f t="shared" si="15"/>
        <v>Jun</v>
      </c>
      <c r="E482" s="6" t="s">
        <v>1694</v>
      </c>
      <c r="F482" s="5" t="s">
        <v>2406</v>
      </c>
      <c r="G482">
        <v>1</v>
      </c>
      <c r="H482">
        <v>335.1</v>
      </c>
      <c r="I482" s="6" t="s">
        <v>2509</v>
      </c>
      <c r="J482" s="6" t="s">
        <v>3065</v>
      </c>
      <c r="K482" s="6" t="s">
        <v>3074</v>
      </c>
      <c r="L482" t="s">
        <v>3555</v>
      </c>
      <c r="M482">
        <v>6</v>
      </c>
      <c r="N482" t="s">
        <v>4276</v>
      </c>
      <c r="O482" t="s">
        <v>4279</v>
      </c>
      <c r="P482">
        <v>335.1</v>
      </c>
    </row>
    <row r="483" spans="1:16" x14ac:dyDescent="0.3">
      <c r="A483" t="s">
        <v>495</v>
      </c>
      <c r="B483" s="3">
        <v>45039</v>
      </c>
      <c r="C483" s="7" t="str">
        <f t="shared" si="14"/>
        <v>2023</v>
      </c>
      <c r="D483" s="7" t="str">
        <f t="shared" si="15"/>
        <v>Apr</v>
      </c>
      <c r="E483" s="6" t="s">
        <v>1695</v>
      </c>
      <c r="F483" s="5" t="s">
        <v>2408</v>
      </c>
      <c r="G483">
        <v>4</v>
      </c>
      <c r="H483">
        <v>484.85</v>
      </c>
      <c r="I483" s="6" t="s">
        <v>2596</v>
      </c>
      <c r="J483" s="6" t="s">
        <v>3065</v>
      </c>
      <c r="K483" s="6" t="s">
        <v>3073</v>
      </c>
      <c r="L483" t="s">
        <v>3556</v>
      </c>
      <c r="M483">
        <v>5</v>
      </c>
      <c r="N483" t="s">
        <v>4277</v>
      </c>
      <c r="O483" t="s">
        <v>4279</v>
      </c>
      <c r="P483">
        <v>1939.4</v>
      </c>
    </row>
    <row r="484" spans="1:16" x14ac:dyDescent="0.3">
      <c r="A484" t="s">
        <v>496</v>
      </c>
      <c r="B484" s="3">
        <v>45718</v>
      </c>
      <c r="C484" s="7" t="str">
        <f t="shared" si="14"/>
        <v>2025</v>
      </c>
      <c r="D484" s="7" t="str">
        <f t="shared" si="15"/>
        <v>Mar</v>
      </c>
      <c r="E484" s="6" t="s">
        <v>1696</v>
      </c>
      <c r="F484" s="5" t="s">
        <v>2403</v>
      </c>
      <c r="G484">
        <v>3</v>
      </c>
      <c r="H484">
        <v>381.41</v>
      </c>
      <c r="I484" s="6" t="s">
        <v>2487</v>
      </c>
      <c r="J484" s="6" t="s">
        <v>3066</v>
      </c>
      <c r="K484" s="6" t="s">
        <v>3074</v>
      </c>
      <c r="L484" t="s">
        <v>3557</v>
      </c>
      <c r="M484">
        <v>6</v>
      </c>
      <c r="N484" t="s">
        <v>4285</v>
      </c>
      <c r="O484" t="s">
        <v>4278</v>
      </c>
      <c r="P484">
        <v>1144.23</v>
      </c>
    </row>
    <row r="485" spans="1:16" x14ac:dyDescent="0.3">
      <c r="A485" t="s">
        <v>497</v>
      </c>
      <c r="B485" s="3">
        <v>44944</v>
      </c>
      <c r="C485" s="7" t="str">
        <f t="shared" si="14"/>
        <v>2023</v>
      </c>
      <c r="D485" s="7" t="str">
        <f t="shared" si="15"/>
        <v>Jan</v>
      </c>
      <c r="E485" s="6" t="s">
        <v>1697</v>
      </c>
      <c r="F485" s="5" t="s">
        <v>2404</v>
      </c>
      <c r="G485">
        <v>5</v>
      </c>
      <c r="H485">
        <v>347.92</v>
      </c>
      <c r="I485" s="6" t="s">
        <v>2782</v>
      </c>
      <c r="J485" s="6" t="s">
        <v>3069</v>
      </c>
      <c r="K485" s="6" t="s">
        <v>3074</v>
      </c>
      <c r="L485" t="s">
        <v>3558</v>
      </c>
      <c r="M485">
        <v>6</v>
      </c>
      <c r="N485" t="s">
        <v>4277</v>
      </c>
      <c r="O485" t="s">
        <v>4282</v>
      </c>
      <c r="P485">
        <v>1739.6</v>
      </c>
    </row>
    <row r="486" spans="1:16" x14ac:dyDescent="0.3">
      <c r="A486" t="s">
        <v>498</v>
      </c>
      <c r="B486" s="3">
        <v>45441</v>
      </c>
      <c r="C486" s="7" t="str">
        <f t="shared" si="14"/>
        <v>2024</v>
      </c>
      <c r="D486" s="7" t="str">
        <f t="shared" si="15"/>
        <v>May</v>
      </c>
      <c r="E486" s="6" t="s">
        <v>1698</v>
      </c>
      <c r="F486" s="5" t="s">
        <v>2406</v>
      </c>
      <c r="G486">
        <v>4</v>
      </c>
      <c r="H486">
        <v>15.01</v>
      </c>
      <c r="I486" s="6" t="s">
        <v>2736</v>
      </c>
      <c r="J486" s="6" t="s">
        <v>3069</v>
      </c>
      <c r="K486" s="6" t="s">
        <v>3071</v>
      </c>
      <c r="L486" t="s">
        <v>3559</v>
      </c>
      <c r="M486">
        <v>6</v>
      </c>
      <c r="N486" t="s">
        <v>4285</v>
      </c>
      <c r="O486" t="s">
        <v>4281</v>
      </c>
      <c r="P486">
        <v>60.04</v>
      </c>
    </row>
    <row r="487" spans="1:16" x14ac:dyDescent="0.3">
      <c r="A487" t="s">
        <v>499</v>
      </c>
      <c r="B487" s="3">
        <v>45139</v>
      </c>
      <c r="C487" s="7" t="str">
        <f t="shared" si="14"/>
        <v>2023</v>
      </c>
      <c r="D487" s="7" t="str">
        <f t="shared" si="15"/>
        <v>Aug</v>
      </c>
      <c r="E487" s="6" t="s">
        <v>1699</v>
      </c>
      <c r="F487" s="5" t="s">
        <v>2406</v>
      </c>
      <c r="G487">
        <v>3</v>
      </c>
      <c r="H487">
        <v>404.79</v>
      </c>
      <c r="I487" s="6" t="s">
        <v>2783</v>
      </c>
      <c r="J487" s="6" t="s">
        <v>3069</v>
      </c>
      <c r="K487" s="6" t="s">
        <v>3070</v>
      </c>
      <c r="L487" t="s">
        <v>3560</v>
      </c>
      <c r="M487">
        <v>6</v>
      </c>
      <c r="N487" t="s">
        <v>4275</v>
      </c>
      <c r="O487" t="s">
        <v>4278</v>
      </c>
      <c r="P487">
        <v>1214.3699999999999</v>
      </c>
    </row>
    <row r="488" spans="1:16" x14ac:dyDescent="0.3">
      <c r="A488" t="s">
        <v>500</v>
      </c>
      <c r="B488" s="3">
        <v>44960</v>
      </c>
      <c r="C488" s="7" t="str">
        <f t="shared" si="14"/>
        <v>2023</v>
      </c>
      <c r="D488" s="7" t="str">
        <f t="shared" si="15"/>
        <v>Feb</v>
      </c>
      <c r="E488" s="6" t="s">
        <v>1700</v>
      </c>
      <c r="F488" s="5" t="s">
        <v>2407</v>
      </c>
      <c r="G488">
        <v>4</v>
      </c>
      <c r="H488">
        <v>611.26</v>
      </c>
      <c r="I488" s="6" t="s">
        <v>2727</v>
      </c>
      <c r="J488" s="6" t="s">
        <v>3069</v>
      </c>
      <c r="K488" s="6" t="s">
        <v>3070</v>
      </c>
      <c r="L488" t="s">
        <v>3561</v>
      </c>
      <c r="M488">
        <v>5</v>
      </c>
      <c r="N488" t="s">
        <v>4275</v>
      </c>
      <c r="O488" t="s">
        <v>4279</v>
      </c>
      <c r="P488">
        <v>2445.04</v>
      </c>
    </row>
    <row r="489" spans="1:16" x14ac:dyDescent="0.3">
      <c r="A489" t="s">
        <v>501</v>
      </c>
      <c r="B489" s="3">
        <v>44994</v>
      </c>
      <c r="C489" s="7" t="str">
        <f t="shared" si="14"/>
        <v>2023</v>
      </c>
      <c r="D489" s="7" t="str">
        <f t="shared" si="15"/>
        <v>Mar</v>
      </c>
      <c r="E489" s="6" t="s">
        <v>1701</v>
      </c>
      <c r="F489" s="5" t="s">
        <v>2407</v>
      </c>
      <c r="G489">
        <v>3</v>
      </c>
      <c r="H489">
        <v>346.52</v>
      </c>
      <c r="I489" s="6" t="s">
        <v>2784</v>
      </c>
      <c r="J489" s="6" t="s">
        <v>3067</v>
      </c>
      <c r="K489" s="6" t="s">
        <v>3074</v>
      </c>
      <c r="L489" t="s">
        <v>3562</v>
      </c>
      <c r="M489">
        <v>3</v>
      </c>
      <c r="N489" t="s">
        <v>4275</v>
      </c>
      <c r="O489" t="s">
        <v>4282</v>
      </c>
      <c r="P489">
        <v>1039.56</v>
      </c>
    </row>
    <row r="490" spans="1:16" x14ac:dyDescent="0.3">
      <c r="A490" t="s">
        <v>502</v>
      </c>
      <c r="B490" s="3">
        <v>45631</v>
      </c>
      <c r="C490" s="7" t="str">
        <f t="shared" si="14"/>
        <v>2024</v>
      </c>
      <c r="D490" s="7" t="str">
        <f t="shared" si="15"/>
        <v>Dec</v>
      </c>
      <c r="E490" s="6" t="s">
        <v>1702</v>
      </c>
      <c r="F490" s="5" t="s">
        <v>2406</v>
      </c>
      <c r="G490">
        <v>1</v>
      </c>
      <c r="H490">
        <v>36.65</v>
      </c>
      <c r="I490" s="6" t="s">
        <v>2785</v>
      </c>
      <c r="J490" s="6" t="s">
        <v>3066</v>
      </c>
      <c r="K490" s="6" t="s">
        <v>3071</v>
      </c>
      <c r="L490" t="s">
        <v>3563</v>
      </c>
      <c r="M490">
        <v>1</v>
      </c>
      <c r="N490" t="s">
        <v>4277</v>
      </c>
      <c r="O490" t="s">
        <v>4280</v>
      </c>
      <c r="P490">
        <v>36.65</v>
      </c>
    </row>
    <row r="491" spans="1:16" x14ac:dyDescent="0.3">
      <c r="A491" t="s">
        <v>503</v>
      </c>
      <c r="B491" s="3">
        <v>45174</v>
      </c>
      <c r="C491" s="7" t="str">
        <f t="shared" si="14"/>
        <v>2023</v>
      </c>
      <c r="D491" s="7" t="str">
        <f t="shared" si="15"/>
        <v>Sept</v>
      </c>
      <c r="E491" s="6" t="s">
        <v>1703</v>
      </c>
      <c r="F491" s="5" t="s">
        <v>2405</v>
      </c>
      <c r="G491">
        <v>3</v>
      </c>
      <c r="H491">
        <v>149.34</v>
      </c>
      <c r="I491" s="6" t="s">
        <v>2637</v>
      </c>
      <c r="J491" s="6" t="s">
        <v>3068</v>
      </c>
      <c r="K491" s="6" t="s">
        <v>3071</v>
      </c>
      <c r="L491" t="s">
        <v>3564</v>
      </c>
      <c r="M491">
        <v>7</v>
      </c>
      <c r="N491" t="s">
        <v>4277</v>
      </c>
      <c r="O491" t="s">
        <v>4280</v>
      </c>
      <c r="P491">
        <v>448.02</v>
      </c>
    </row>
    <row r="492" spans="1:16" x14ac:dyDescent="0.3">
      <c r="A492" t="s">
        <v>504</v>
      </c>
      <c r="B492" s="3">
        <v>45495</v>
      </c>
      <c r="C492" s="7" t="str">
        <f t="shared" si="14"/>
        <v>2024</v>
      </c>
      <c r="D492" s="7" t="str">
        <f t="shared" si="15"/>
        <v>Jul</v>
      </c>
      <c r="E492" s="6" t="s">
        <v>1704</v>
      </c>
      <c r="F492" s="5" t="s">
        <v>2406</v>
      </c>
      <c r="G492">
        <v>5</v>
      </c>
      <c r="H492">
        <v>467.81</v>
      </c>
      <c r="I492" s="6" t="s">
        <v>2786</v>
      </c>
      <c r="J492" s="6" t="s">
        <v>3066</v>
      </c>
      <c r="K492" s="6" t="s">
        <v>3071</v>
      </c>
      <c r="L492" t="s">
        <v>3565</v>
      </c>
      <c r="M492">
        <v>10</v>
      </c>
      <c r="N492" t="s">
        <v>4285</v>
      </c>
      <c r="O492" t="s">
        <v>4281</v>
      </c>
      <c r="P492">
        <v>2339.0500000000002</v>
      </c>
    </row>
    <row r="493" spans="1:16" x14ac:dyDescent="0.3">
      <c r="A493" t="s">
        <v>505</v>
      </c>
      <c r="B493" s="3">
        <v>44931</v>
      </c>
      <c r="C493" s="7" t="str">
        <f t="shared" si="14"/>
        <v>2023</v>
      </c>
      <c r="D493" s="7" t="str">
        <f t="shared" si="15"/>
        <v>Jan</v>
      </c>
      <c r="E493" s="6" t="s">
        <v>1705</v>
      </c>
      <c r="F493" s="5" t="s">
        <v>2404</v>
      </c>
      <c r="G493">
        <v>5</v>
      </c>
      <c r="H493">
        <v>420.7</v>
      </c>
      <c r="I493" s="6" t="s">
        <v>2780</v>
      </c>
      <c r="J493" s="6" t="s">
        <v>3069</v>
      </c>
      <c r="K493" s="6" t="s">
        <v>3074</v>
      </c>
      <c r="L493" t="s">
        <v>3566</v>
      </c>
      <c r="M493">
        <v>5</v>
      </c>
      <c r="N493" t="s">
        <v>4277</v>
      </c>
      <c r="O493" t="s">
        <v>4281</v>
      </c>
      <c r="P493">
        <v>2103.5</v>
      </c>
    </row>
    <row r="494" spans="1:16" x14ac:dyDescent="0.3">
      <c r="A494" t="s">
        <v>506</v>
      </c>
      <c r="B494" s="3">
        <v>45224</v>
      </c>
      <c r="C494" s="7" t="str">
        <f t="shared" si="14"/>
        <v>2023</v>
      </c>
      <c r="D494" s="7" t="str">
        <f t="shared" si="15"/>
        <v>Oct</v>
      </c>
      <c r="E494" s="6" t="s">
        <v>1706</v>
      </c>
      <c r="F494" s="5" t="s">
        <v>2408</v>
      </c>
      <c r="G494">
        <v>5</v>
      </c>
      <c r="H494">
        <v>606.52</v>
      </c>
      <c r="I494" s="6" t="s">
        <v>2483</v>
      </c>
      <c r="J494" s="6" t="s">
        <v>3065</v>
      </c>
      <c r="K494" s="6" t="s">
        <v>3070</v>
      </c>
      <c r="L494" t="s">
        <v>3567</v>
      </c>
      <c r="M494">
        <v>6</v>
      </c>
      <c r="N494" t="s">
        <v>4275</v>
      </c>
      <c r="O494" t="s">
        <v>4278</v>
      </c>
      <c r="P494">
        <v>3032.6</v>
      </c>
    </row>
    <row r="495" spans="1:16" x14ac:dyDescent="0.3">
      <c r="A495" t="s">
        <v>507</v>
      </c>
      <c r="B495" s="3">
        <v>45685</v>
      </c>
      <c r="C495" s="7" t="str">
        <f t="shared" si="14"/>
        <v>2025</v>
      </c>
      <c r="D495" s="7" t="str">
        <f t="shared" si="15"/>
        <v>Jan</v>
      </c>
      <c r="E495" s="6" t="s">
        <v>1707</v>
      </c>
      <c r="F495" s="5" t="s">
        <v>2404</v>
      </c>
      <c r="G495">
        <v>1</v>
      </c>
      <c r="H495">
        <v>420.26</v>
      </c>
      <c r="I495" s="6" t="s">
        <v>2787</v>
      </c>
      <c r="J495" s="6" t="s">
        <v>3067</v>
      </c>
      <c r="K495" s="6" t="s">
        <v>3074</v>
      </c>
      <c r="L495" t="s">
        <v>3568</v>
      </c>
      <c r="M495">
        <v>4</v>
      </c>
      <c r="N495" t="s">
        <v>4276</v>
      </c>
      <c r="O495" t="s">
        <v>4281</v>
      </c>
      <c r="P495">
        <v>420.26</v>
      </c>
    </row>
    <row r="496" spans="1:16" x14ac:dyDescent="0.3">
      <c r="A496" t="s">
        <v>508</v>
      </c>
      <c r="B496" s="3">
        <v>45126</v>
      </c>
      <c r="C496" s="7" t="str">
        <f t="shared" si="14"/>
        <v>2023</v>
      </c>
      <c r="D496" s="7" t="str">
        <f t="shared" si="15"/>
        <v>Jul</v>
      </c>
      <c r="E496" s="6" t="s">
        <v>1708</v>
      </c>
      <c r="F496" s="5" t="s">
        <v>2408</v>
      </c>
      <c r="G496">
        <v>3</v>
      </c>
      <c r="H496">
        <v>505.79</v>
      </c>
      <c r="I496" s="6" t="s">
        <v>2788</v>
      </c>
      <c r="J496" s="6" t="s">
        <v>3065</v>
      </c>
      <c r="K496" s="6" t="s">
        <v>3074</v>
      </c>
      <c r="L496" t="s">
        <v>3569</v>
      </c>
      <c r="M496">
        <v>3</v>
      </c>
      <c r="N496" t="s">
        <v>4276</v>
      </c>
      <c r="O496" t="s">
        <v>4279</v>
      </c>
      <c r="P496">
        <v>1517.37</v>
      </c>
    </row>
    <row r="497" spans="1:16" x14ac:dyDescent="0.3">
      <c r="A497" t="s">
        <v>509</v>
      </c>
      <c r="B497" s="3">
        <v>45813</v>
      </c>
      <c r="C497" s="7" t="str">
        <f t="shared" si="14"/>
        <v>2025</v>
      </c>
      <c r="D497" s="7" t="str">
        <f t="shared" si="15"/>
        <v>Jun</v>
      </c>
      <c r="E497" s="6" t="s">
        <v>1709</v>
      </c>
      <c r="F497" s="5" t="s">
        <v>2404</v>
      </c>
      <c r="G497">
        <v>4</v>
      </c>
      <c r="H497">
        <v>493.73</v>
      </c>
      <c r="I497" s="6" t="s">
        <v>2550</v>
      </c>
      <c r="J497" s="6" t="s">
        <v>3065</v>
      </c>
      <c r="K497" s="6" t="s">
        <v>3074</v>
      </c>
      <c r="L497" t="s">
        <v>3570</v>
      </c>
      <c r="M497">
        <v>6</v>
      </c>
      <c r="N497" t="s">
        <v>4275</v>
      </c>
      <c r="O497" t="s">
        <v>4281</v>
      </c>
      <c r="P497">
        <v>1974.92</v>
      </c>
    </row>
    <row r="498" spans="1:16" x14ac:dyDescent="0.3">
      <c r="A498" t="s">
        <v>510</v>
      </c>
      <c r="B498" s="3">
        <v>45730</v>
      </c>
      <c r="C498" s="7" t="str">
        <f t="shared" si="14"/>
        <v>2025</v>
      </c>
      <c r="D498" s="7" t="str">
        <f t="shared" si="15"/>
        <v>Mar</v>
      </c>
      <c r="E498" s="6" t="s">
        <v>1710</v>
      </c>
      <c r="F498" s="5" t="s">
        <v>2407</v>
      </c>
      <c r="G498">
        <v>3</v>
      </c>
      <c r="H498">
        <v>201.21</v>
      </c>
      <c r="I498" s="6" t="s">
        <v>2789</v>
      </c>
      <c r="J498" s="6" t="s">
        <v>3066</v>
      </c>
      <c r="K498" s="6" t="s">
        <v>3071</v>
      </c>
      <c r="L498" t="s">
        <v>3571</v>
      </c>
      <c r="M498">
        <v>3</v>
      </c>
      <c r="N498" t="s">
        <v>4275</v>
      </c>
      <c r="O498" t="s">
        <v>4282</v>
      </c>
      <c r="P498">
        <v>603.63</v>
      </c>
    </row>
    <row r="499" spans="1:16" x14ac:dyDescent="0.3">
      <c r="A499" t="s">
        <v>511</v>
      </c>
      <c r="B499" s="3">
        <v>45589</v>
      </c>
      <c r="C499" s="7" t="str">
        <f t="shared" si="14"/>
        <v>2024</v>
      </c>
      <c r="D499" s="7" t="str">
        <f t="shared" si="15"/>
        <v>Oct</v>
      </c>
      <c r="E499" s="6" t="s">
        <v>1711</v>
      </c>
      <c r="F499" s="5" t="s">
        <v>2407</v>
      </c>
      <c r="G499">
        <v>3</v>
      </c>
      <c r="H499">
        <v>112.29</v>
      </c>
      <c r="I499" s="6" t="s">
        <v>2790</v>
      </c>
      <c r="J499" s="6" t="s">
        <v>3068</v>
      </c>
      <c r="K499" s="6" t="s">
        <v>3070</v>
      </c>
      <c r="L499" t="s">
        <v>3572</v>
      </c>
      <c r="M499">
        <v>6</v>
      </c>
      <c r="N499" t="s">
        <v>4285</v>
      </c>
      <c r="O499" t="s">
        <v>4282</v>
      </c>
      <c r="P499">
        <v>336.87</v>
      </c>
    </row>
    <row r="500" spans="1:16" x14ac:dyDescent="0.3">
      <c r="A500" t="s">
        <v>512</v>
      </c>
      <c r="B500" s="3">
        <v>45119</v>
      </c>
      <c r="C500" s="7" t="str">
        <f t="shared" si="14"/>
        <v>2023</v>
      </c>
      <c r="D500" s="7" t="str">
        <f t="shared" si="15"/>
        <v>Jul</v>
      </c>
      <c r="E500" s="6" t="s">
        <v>1712</v>
      </c>
      <c r="F500" s="5" t="s">
        <v>2405</v>
      </c>
      <c r="G500">
        <v>4</v>
      </c>
      <c r="H500">
        <v>132.56</v>
      </c>
      <c r="I500" s="6" t="s">
        <v>2622</v>
      </c>
      <c r="J500" s="6" t="s">
        <v>3069</v>
      </c>
      <c r="K500" s="6" t="s">
        <v>3072</v>
      </c>
      <c r="L500" t="s">
        <v>3573</v>
      </c>
      <c r="M500">
        <v>8</v>
      </c>
      <c r="N500" t="s">
        <v>4277</v>
      </c>
      <c r="O500" t="s">
        <v>4278</v>
      </c>
      <c r="P500">
        <v>530.24</v>
      </c>
    </row>
    <row r="501" spans="1:16" x14ac:dyDescent="0.3">
      <c r="A501" t="s">
        <v>513</v>
      </c>
      <c r="B501" s="3">
        <v>45022</v>
      </c>
      <c r="C501" s="7" t="str">
        <f t="shared" si="14"/>
        <v>2023</v>
      </c>
      <c r="D501" s="7" t="str">
        <f t="shared" si="15"/>
        <v>Apr</v>
      </c>
      <c r="E501" s="6" t="s">
        <v>1713</v>
      </c>
      <c r="F501" s="5" t="s">
        <v>2407</v>
      </c>
      <c r="G501">
        <v>3</v>
      </c>
      <c r="H501">
        <v>539.46</v>
      </c>
      <c r="I501" s="6" t="s">
        <v>2791</v>
      </c>
      <c r="J501" s="6" t="s">
        <v>3067</v>
      </c>
      <c r="K501" s="6" t="s">
        <v>3070</v>
      </c>
      <c r="L501" t="s">
        <v>3574</v>
      </c>
      <c r="M501">
        <v>4</v>
      </c>
      <c r="N501" t="s">
        <v>4275</v>
      </c>
      <c r="O501" t="s">
        <v>4281</v>
      </c>
      <c r="P501">
        <v>1618.38</v>
      </c>
    </row>
    <row r="502" spans="1:16" x14ac:dyDescent="0.3">
      <c r="A502" t="s">
        <v>514</v>
      </c>
      <c r="B502" s="3">
        <v>45389</v>
      </c>
      <c r="C502" s="7" t="str">
        <f t="shared" si="14"/>
        <v>2024</v>
      </c>
      <c r="D502" s="7" t="str">
        <f t="shared" si="15"/>
        <v>Apr</v>
      </c>
      <c r="E502" s="6" t="s">
        <v>1714</v>
      </c>
      <c r="F502" s="5" t="s">
        <v>2408</v>
      </c>
      <c r="G502">
        <v>5</v>
      </c>
      <c r="H502">
        <v>508.59</v>
      </c>
      <c r="I502" s="6" t="s">
        <v>2792</v>
      </c>
      <c r="J502" s="6" t="s">
        <v>3069</v>
      </c>
      <c r="K502" s="6" t="s">
        <v>3072</v>
      </c>
      <c r="L502" t="s">
        <v>3575</v>
      </c>
      <c r="M502">
        <v>8</v>
      </c>
      <c r="N502" t="s">
        <v>4277</v>
      </c>
      <c r="O502" t="s">
        <v>4281</v>
      </c>
      <c r="P502">
        <v>2542.9499999999998</v>
      </c>
    </row>
    <row r="503" spans="1:16" x14ac:dyDescent="0.3">
      <c r="A503" t="s">
        <v>515</v>
      </c>
      <c r="B503" s="3">
        <v>45326</v>
      </c>
      <c r="C503" s="7" t="str">
        <f t="shared" si="14"/>
        <v>2024</v>
      </c>
      <c r="D503" s="7" t="str">
        <f t="shared" si="15"/>
        <v>Feb</v>
      </c>
      <c r="E503" s="6" t="s">
        <v>1715</v>
      </c>
      <c r="F503" s="5" t="s">
        <v>2409</v>
      </c>
      <c r="G503">
        <v>4</v>
      </c>
      <c r="H503">
        <v>203.46</v>
      </c>
      <c r="I503" s="6" t="s">
        <v>2559</v>
      </c>
      <c r="J503" s="6" t="s">
        <v>3067</v>
      </c>
      <c r="K503" s="6" t="s">
        <v>3074</v>
      </c>
      <c r="L503" t="s">
        <v>3576</v>
      </c>
      <c r="M503">
        <v>7</v>
      </c>
      <c r="N503" t="s">
        <v>4275</v>
      </c>
      <c r="O503" t="s">
        <v>4279</v>
      </c>
      <c r="P503">
        <v>813.84</v>
      </c>
    </row>
    <row r="504" spans="1:16" x14ac:dyDescent="0.3">
      <c r="A504" t="s">
        <v>516</v>
      </c>
      <c r="B504" s="3">
        <v>45066</v>
      </c>
      <c r="C504" s="7" t="str">
        <f t="shared" si="14"/>
        <v>2023</v>
      </c>
      <c r="D504" s="7" t="str">
        <f t="shared" si="15"/>
        <v>May</v>
      </c>
      <c r="E504" s="6" t="s">
        <v>1716</v>
      </c>
      <c r="F504" s="5" t="s">
        <v>2403</v>
      </c>
      <c r="G504">
        <v>3</v>
      </c>
      <c r="H504">
        <v>565.25</v>
      </c>
      <c r="I504" s="6" t="s">
        <v>2793</v>
      </c>
      <c r="J504" s="6" t="s">
        <v>3065</v>
      </c>
      <c r="K504" s="6" t="s">
        <v>3072</v>
      </c>
      <c r="L504" t="s">
        <v>3577</v>
      </c>
      <c r="M504">
        <v>7</v>
      </c>
      <c r="N504" t="s">
        <v>4275</v>
      </c>
      <c r="O504" t="s">
        <v>4280</v>
      </c>
      <c r="P504">
        <v>1695.75</v>
      </c>
    </row>
    <row r="505" spans="1:16" x14ac:dyDescent="0.3">
      <c r="A505" t="s">
        <v>517</v>
      </c>
      <c r="B505" s="3">
        <v>45169</v>
      </c>
      <c r="C505" s="7" t="str">
        <f t="shared" si="14"/>
        <v>2023</v>
      </c>
      <c r="D505" s="7" t="str">
        <f t="shared" si="15"/>
        <v>Aug</v>
      </c>
      <c r="E505" s="6" t="s">
        <v>1717</v>
      </c>
      <c r="F505" s="5" t="s">
        <v>2405</v>
      </c>
      <c r="G505">
        <v>3</v>
      </c>
      <c r="H505">
        <v>136.84</v>
      </c>
      <c r="I505" s="6" t="s">
        <v>2794</v>
      </c>
      <c r="J505" s="6" t="s">
        <v>3066</v>
      </c>
      <c r="K505" s="6" t="s">
        <v>3074</v>
      </c>
      <c r="L505" t="s">
        <v>3578</v>
      </c>
      <c r="M505">
        <v>4</v>
      </c>
      <c r="N505" t="s">
        <v>4276</v>
      </c>
      <c r="O505" t="s">
        <v>4281</v>
      </c>
      <c r="P505">
        <v>410.52</v>
      </c>
    </row>
    <row r="506" spans="1:16" x14ac:dyDescent="0.3">
      <c r="A506" t="s">
        <v>518</v>
      </c>
      <c r="B506" s="3">
        <v>45819</v>
      </c>
      <c r="C506" s="7" t="str">
        <f t="shared" si="14"/>
        <v>2025</v>
      </c>
      <c r="D506" s="7" t="str">
        <f t="shared" si="15"/>
        <v>Jun</v>
      </c>
      <c r="E506" s="6" t="s">
        <v>1718</v>
      </c>
      <c r="F506" s="5" t="s">
        <v>2403</v>
      </c>
      <c r="G506">
        <v>2</v>
      </c>
      <c r="H506">
        <v>464.5</v>
      </c>
      <c r="I506" s="6" t="s">
        <v>2795</v>
      </c>
      <c r="J506" s="6" t="s">
        <v>3066</v>
      </c>
      <c r="K506" s="6" t="s">
        <v>3071</v>
      </c>
      <c r="L506" t="s">
        <v>3579</v>
      </c>
      <c r="M506">
        <v>2</v>
      </c>
      <c r="N506" t="s">
        <v>4277</v>
      </c>
      <c r="O506" t="s">
        <v>4278</v>
      </c>
      <c r="P506">
        <v>929</v>
      </c>
    </row>
    <row r="507" spans="1:16" x14ac:dyDescent="0.3">
      <c r="A507" t="s">
        <v>519</v>
      </c>
      <c r="B507" s="3">
        <v>45088</v>
      </c>
      <c r="C507" s="7" t="str">
        <f t="shared" si="14"/>
        <v>2023</v>
      </c>
      <c r="D507" s="7" t="str">
        <f t="shared" si="15"/>
        <v>Jun</v>
      </c>
      <c r="E507" s="6" t="s">
        <v>1719</v>
      </c>
      <c r="F507" s="5" t="s">
        <v>2407</v>
      </c>
      <c r="G507">
        <v>2</v>
      </c>
      <c r="H507">
        <v>434.97</v>
      </c>
      <c r="I507" s="6" t="s">
        <v>2727</v>
      </c>
      <c r="J507" s="6" t="s">
        <v>3066</v>
      </c>
      <c r="K507" s="6" t="s">
        <v>3070</v>
      </c>
      <c r="L507" t="s">
        <v>3580</v>
      </c>
      <c r="M507">
        <v>7</v>
      </c>
      <c r="N507" t="s">
        <v>4285</v>
      </c>
      <c r="O507" t="s">
        <v>4280</v>
      </c>
      <c r="P507">
        <v>869.94</v>
      </c>
    </row>
    <row r="508" spans="1:16" x14ac:dyDescent="0.3">
      <c r="A508" t="s">
        <v>520</v>
      </c>
      <c r="B508" s="3">
        <v>45132</v>
      </c>
      <c r="C508" s="7" t="str">
        <f t="shared" si="14"/>
        <v>2023</v>
      </c>
      <c r="D508" s="7" t="str">
        <f t="shared" si="15"/>
        <v>Jul</v>
      </c>
      <c r="E508" s="6" t="s">
        <v>1720</v>
      </c>
      <c r="F508" s="5" t="s">
        <v>2403</v>
      </c>
      <c r="G508">
        <v>2</v>
      </c>
      <c r="H508">
        <v>43.67</v>
      </c>
      <c r="I508" s="6" t="s">
        <v>2796</v>
      </c>
      <c r="J508" s="6" t="s">
        <v>3069</v>
      </c>
      <c r="K508" s="6" t="s">
        <v>3072</v>
      </c>
      <c r="L508" t="s">
        <v>3581</v>
      </c>
      <c r="M508">
        <v>4</v>
      </c>
      <c r="N508" t="s">
        <v>4277</v>
      </c>
      <c r="O508" t="s">
        <v>4278</v>
      </c>
      <c r="P508">
        <v>87.34</v>
      </c>
    </row>
    <row r="509" spans="1:16" x14ac:dyDescent="0.3">
      <c r="A509" t="s">
        <v>521</v>
      </c>
      <c r="B509" s="3">
        <v>45112</v>
      </c>
      <c r="C509" s="7" t="str">
        <f t="shared" si="14"/>
        <v>2023</v>
      </c>
      <c r="D509" s="7" t="str">
        <f t="shared" si="15"/>
        <v>Jul</v>
      </c>
      <c r="E509" s="6" t="s">
        <v>1721</v>
      </c>
      <c r="F509" s="5" t="s">
        <v>2404</v>
      </c>
      <c r="G509">
        <v>1</v>
      </c>
      <c r="H509">
        <v>171.59</v>
      </c>
      <c r="I509" s="6" t="s">
        <v>2684</v>
      </c>
      <c r="J509" s="6" t="s">
        <v>3067</v>
      </c>
      <c r="K509" s="6" t="s">
        <v>3074</v>
      </c>
      <c r="L509" t="s">
        <v>3582</v>
      </c>
      <c r="M509">
        <v>5</v>
      </c>
      <c r="N509" t="s">
        <v>4277</v>
      </c>
      <c r="O509" t="s">
        <v>4280</v>
      </c>
      <c r="P509">
        <v>171.59</v>
      </c>
    </row>
    <row r="510" spans="1:16" x14ac:dyDescent="0.3">
      <c r="A510" t="s">
        <v>522</v>
      </c>
      <c r="B510" s="3">
        <v>45791</v>
      </c>
      <c r="C510" s="7" t="str">
        <f t="shared" si="14"/>
        <v>2025</v>
      </c>
      <c r="D510" s="7" t="str">
        <f t="shared" si="15"/>
        <v>May</v>
      </c>
      <c r="E510" s="6" t="s">
        <v>1722</v>
      </c>
      <c r="F510" s="5" t="s">
        <v>2404</v>
      </c>
      <c r="G510">
        <v>1</v>
      </c>
      <c r="H510">
        <v>558.27</v>
      </c>
      <c r="I510" s="6" t="s">
        <v>2797</v>
      </c>
      <c r="J510" s="6" t="s">
        <v>3066</v>
      </c>
      <c r="K510" s="6" t="s">
        <v>3073</v>
      </c>
      <c r="L510" t="s">
        <v>3583</v>
      </c>
      <c r="M510">
        <v>1</v>
      </c>
      <c r="N510" t="s">
        <v>4285</v>
      </c>
      <c r="O510" t="s">
        <v>4279</v>
      </c>
      <c r="P510">
        <v>558.27</v>
      </c>
    </row>
    <row r="511" spans="1:16" x14ac:dyDescent="0.3">
      <c r="A511" t="s">
        <v>523</v>
      </c>
      <c r="B511" s="3">
        <v>44972</v>
      </c>
      <c r="C511" s="7" t="str">
        <f t="shared" si="14"/>
        <v>2023</v>
      </c>
      <c r="D511" s="7" t="str">
        <f t="shared" si="15"/>
        <v>Feb</v>
      </c>
      <c r="E511" s="6" t="s">
        <v>1723</v>
      </c>
      <c r="F511" s="5" t="s">
        <v>2408</v>
      </c>
      <c r="G511">
        <v>2</v>
      </c>
      <c r="H511">
        <v>425.03</v>
      </c>
      <c r="I511" s="6" t="s">
        <v>2798</v>
      </c>
      <c r="J511" s="6" t="s">
        <v>3069</v>
      </c>
      <c r="K511" s="6" t="s">
        <v>3072</v>
      </c>
      <c r="L511" t="s">
        <v>3584</v>
      </c>
      <c r="M511">
        <v>2</v>
      </c>
      <c r="N511" t="s">
        <v>4277</v>
      </c>
      <c r="O511" t="s">
        <v>4282</v>
      </c>
      <c r="P511">
        <v>850.06</v>
      </c>
    </row>
    <row r="512" spans="1:16" x14ac:dyDescent="0.3">
      <c r="A512" t="s">
        <v>524</v>
      </c>
      <c r="B512" s="3">
        <v>45642</v>
      </c>
      <c r="C512" s="7" t="str">
        <f t="shared" si="14"/>
        <v>2024</v>
      </c>
      <c r="D512" s="7" t="str">
        <f t="shared" si="15"/>
        <v>Dec</v>
      </c>
      <c r="E512" s="6" t="s">
        <v>1724</v>
      </c>
      <c r="F512" s="5" t="s">
        <v>2407</v>
      </c>
      <c r="G512">
        <v>1</v>
      </c>
      <c r="H512">
        <v>376.76</v>
      </c>
      <c r="I512" s="6" t="s">
        <v>2799</v>
      </c>
      <c r="J512" s="6" t="s">
        <v>3065</v>
      </c>
      <c r="K512" s="6" t="s">
        <v>3073</v>
      </c>
      <c r="L512" t="s">
        <v>3585</v>
      </c>
      <c r="M512">
        <v>5</v>
      </c>
      <c r="N512" t="s">
        <v>4275</v>
      </c>
      <c r="O512" t="s">
        <v>4280</v>
      </c>
      <c r="P512">
        <v>376.76</v>
      </c>
    </row>
    <row r="513" spans="1:16" x14ac:dyDescent="0.3">
      <c r="A513" t="s">
        <v>525</v>
      </c>
      <c r="B513" s="3">
        <v>45366</v>
      </c>
      <c r="C513" s="7" t="str">
        <f t="shared" si="14"/>
        <v>2024</v>
      </c>
      <c r="D513" s="7" t="str">
        <f t="shared" si="15"/>
        <v>Mar</v>
      </c>
      <c r="E513" s="6" t="s">
        <v>1725</v>
      </c>
      <c r="F513" s="5" t="s">
        <v>2403</v>
      </c>
      <c r="G513">
        <v>5</v>
      </c>
      <c r="H513">
        <v>575.24</v>
      </c>
      <c r="I513" s="6" t="s">
        <v>2450</v>
      </c>
      <c r="J513" s="6" t="s">
        <v>3069</v>
      </c>
      <c r="K513" s="6" t="s">
        <v>3073</v>
      </c>
      <c r="L513" t="s">
        <v>3586</v>
      </c>
      <c r="M513">
        <v>7</v>
      </c>
      <c r="N513" t="s">
        <v>4277</v>
      </c>
      <c r="O513" t="s">
        <v>4280</v>
      </c>
      <c r="P513">
        <v>2876.2</v>
      </c>
    </row>
    <row r="514" spans="1:16" x14ac:dyDescent="0.3">
      <c r="A514" t="s">
        <v>526</v>
      </c>
      <c r="B514" s="3">
        <v>45562</v>
      </c>
      <c r="C514" s="7" t="str">
        <f t="shared" ref="C514:C577" si="16">TEXT(B514, "yyyy")</f>
        <v>2024</v>
      </c>
      <c r="D514" s="7" t="str">
        <f t="shared" ref="D514:D577" si="17">TEXT(B514, "MMM")</f>
        <v>Sept</v>
      </c>
      <c r="E514" s="6" t="s">
        <v>1726</v>
      </c>
      <c r="F514" s="5" t="s">
        <v>2409</v>
      </c>
      <c r="G514">
        <v>3</v>
      </c>
      <c r="H514">
        <v>568.02</v>
      </c>
      <c r="I514" s="6" t="s">
        <v>2662</v>
      </c>
      <c r="J514" s="6" t="s">
        <v>3066</v>
      </c>
      <c r="K514" s="6" t="s">
        <v>3074</v>
      </c>
      <c r="L514" t="s">
        <v>3587</v>
      </c>
      <c r="M514">
        <v>3</v>
      </c>
      <c r="N514" t="s">
        <v>4276</v>
      </c>
      <c r="O514" t="s">
        <v>4278</v>
      </c>
      <c r="P514">
        <v>1704.06</v>
      </c>
    </row>
    <row r="515" spans="1:16" x14ac:dyDescent="0.3">
      <c r="A515" t="s">
        <v>527</v>
      </c>
      <c r="B515" s="3">
        <v>45697</v>
      </c>
      <c r="C515" s="7" t="str">
        <f t="shared" si="16"/>
        <v>2025</v>
      </c>
      <c r="D515" s="7" t="str">
        <f t="shared" si="17"/>
        <v>Feb</v>
      </c>
      <c r="E515" s="6" t="s">
        <v>1727</v>
      </c>
      <c r="F515" s="5" t="s">
        <v>2405</v>
      </c>
      <c r="G515">
        <v>3</v>
      </c>
      <c r="H515">
        <v>94.88</v>
      </c>
      <c r="I515" s="6" t="s">
        <v>2501</v>
      </c>
      <c r="J515" s="6" t="s">
        <v>3068</v>
      </c>
      <c r="K515" s="6" t="s">
        <v>3070</v>
      </c>
      <c r="L515" t="s">
        <v>3588</v>
      </c>
      <c r="M515">
        <v>8</v>
      </c>
      <c r="N515" t="s">
        <v>4285</v>
      </c>
      <c r="O515" t="s">
        <v>4279</v>
      </c>
      <c r="P515">
        <v>284.64</v>
      </c>
    </row>
    <row r="516" spans="1:16" x14ac:dyDescent="0.3">
      <c r="A516" t="s">
        <v>528</v>
      </c>
      <c r="B516" s="3">
        <v>45032</v>
      </c>
      <c r="C516" s="7" t="str">
        <f t="shared" si="16"/>
        <v>2023</v>
      </c>
      <c r="D516" s="7" t="str">
        <f t="shared" si="17"/>
        <v>Apr</v>
      </c>
      <c r="E516" s="6" t="s">
        <v>1728</v>
      </c>
      <c r="F516" s="5" t="s">
        <v>2407</v>
      </c>
      <c r="G516">
        <v>3</v>
      </c>
      <c r="H516">
        <v>304.14999999999998</v>
      </c>
      <c r="I516" s="6" t="s">
        <v>2764</v>
      </c>
      <c r="J516" s="6" t="s">
        <v>3068</v>
      </c>
      <c r="K516" s="6" t="s">
        <v>3070</v>
      </c>
      <c r="L516" t="s">
        <v>3589</v>
      </c>
      <c r="M516">
        <v>3</v>
      </c>
      <c r="N516" t="s">
        <v>4277</v>
      </c>
      <c r="O516" t="s">
        <v>4278</v>
      </c>
      <c r="P516">
        <v>912.44999999999993</v>
      </c>
    </row>
    <row r="517" spans="1:16" x14ac:dyDescent="0.3">
      <c r="A517" t="s">
        <v>529</v>
      </c>
      <c r="B517" s="3">
        <v>44999</v>
      </c>
      <c r="C517" s="7" t="str">
        <f t="shared" si="16"/>
        <v>2023</v>
      </c>
      <c r="D517" s="7" t="str">
        <f t="shared" si="17"/>
        <v>Mar</v>
      </c>
      <c r="E517" s="6" t="s">
        <v>1729</v>
      </c>
      <c r="F517" s="5" t="s">
        <v>2404</v>
      </c>
      <c r="G517">
        <v>3</v>
      </c>
      <c r="H517">
        <v>553.52</v>
      </c>
      <c r="I517" s="6" t="s">
        <v>2762</v>
      </c>
      <c r="J517" s="6" t="s">
        <v>3068</v>
      </c>
      <c r="K517" s="6" t="s">
        <v>3070</v>
      </c>
      <c r="L517" t="s">
        <v>3590</v>
      </c>
      <c r="M517">
        <v>4</v>
      </c>
      <c r="N517" t="s">
        <v>4276</v>
      </c>
      <c r="O517" t="s">
        <v>4281</v>
      </c>
      <c r="P517">
        <v>1660.56</v>
      </c>
    </row>
    <row r="518" spans="1:16" x14ac:dyDescent="0.3">
      <c r="A518" t="s">
        <v>530</v>
      </c>
      <c r="B518" s="3">
        <v>45389</v>
      </c>
      <c r="C518" s="7" t="str">
        <f t="shared" si="16"/>
        <v>2024</v>
      </c>
      <c r="D518" s="7" t="str">
        <f t="shared" si="17"/>
        <v>Apr</v>
      </c>
      <c r="E518" s="6" t="s">
        <v>1730</v>
      </c>
      <c r="F518" s="5" t="s">
        <v>2403</v>
      </c>
      <c r="G518">
        <v>3</v>
      </c>
      <c r="H518">
        <v>166.99</v>
      </c>
      <c r="I518" s="6" t="s">
        <v>2659</v>
      </c>
      <c r="J518" s="6" t="s">
        <v>3069</v>
      </c>
      <c r="K518" s="6" t="s">
        <v>3072</v>
      </c>
      <c r="L518" t="s">
        <v>3591</v>
      </c>
      <c r="M518">
        <v>8</v>
      </c>
      <c r="N518" t="s">
        <v>4285</v>
      </c>
      <c r="O518" t="s">
        <v>4281</v>
      </c>
      <c r="P518">
        <v>500.97</v>
      </c>
    </row>
    <row r="519" spans="1:16" x14ac:dyDescent="0.3">
      <c r="A519" t="s">
        <v>531</v>
      </c>
      <c r="B519" s="3">
        <v>45391</v>
      </c>
      <c r="C519" s="7" t="str">
        <f t="shared" si="16"/>
        <v>2024</v>
      </c>
      <c r="D519" s="7" t="str">
        <f t="shared" si="17"/>
        <v>Apr</v>
      </c>
      <c r="E519" s="6" t="s">
        <v>1731</v>
      </c>
      <c r="F519" s="5" t="s">
        <v>2405</v>
      </c>
      <c r="G519">
        <v>4</v>
      </c>
      <c r="H519">
        <v>198.35</v>
      </c>
      <c r="I519" s="6" t="s">
        <v>2781</v>
      </c>
      <c r="J519" s="6" t="s">
        <v>3069</v>
      </c>
      <c r="K519" s="6" t="s">
        <v>3071</v>
      </c>
      <c r="L519" t="s">
        <v>3592</v>
      </c>
      <c r="M519">
        <v>7</v>
      </c>
      <c r="N519" t="s">
        <v>4276</v>
      </c>
      <c r="O519" t="s">
        <v>4282</v>
      </c>
      <c r="P519">
        <v>793.4</v>
      </c>
    </row>
    <row r="520" spans="1:16" x14ac:dyDescent="0.3">
      <c r="A520" t="s">
        <v>532</v>
      </c>
      <c r="B520" s="3">
        <v>45821</v>
      </c>
      <c r="C520" s="7" t="str">
        <f t="shared" si="16"/>
        <v>2025</v>
      </c>
      <c r="D520" s="7" t="str">
        <f t="shared" si="17"/>
        <v>Jun</v>
      </c>
      <c r="E520" s="6" t="s">
        <v>1732</v>
      </c>
      <c r="F520" s="5" t="s">
        <v>2407</v>
      </c>
      <c r="G520">
        <v>4</v>
      </c>
      <c r="H520">
        <v>403.58</v>
      </c>
      <c r="I520" s="6" t="s">
        <v>2732</v>
      </c>
      <c r="J520" s="6" t="s">
        <v>3066</v>
      </c>
      <c r="K520" s="6" t="s">
        <v>3074</v>
      </c>
      <c r="L520" t="s">
        <v>3593</v>
      </c>
      <c r="M520">
        <v>9</v>
      </c>
      <c r="N520" t="s">
        <v>4275</v>
      </c>
      <c r="O520" t="s">
        <v>4279</v>
      </c>
      <c r="P520">
        <v>1614.32</v>
      </c>
    </row>
    <row r="521" spans="1:16" x14ac:dyDescent="0.3">
      <c r="A521" t="s">
        <v>533</v>
      </c>
      <c r="B521" s="3">
        <v>45787</v>
      </c>
      <c r="C521" s="7" t="str">
        <f t="shared" si="16"/>
        <v>2025</v>
      </c>
      <c r="D521" s="7" t="str">
        <f t="shared" si="17"/>
        <v>May</v>
      </c>
      <c r="E521" s="6" t="s">
        <v>1733</v>
      </c>
      <c r="F521" s="5" t="s">
        <v>2408</v>
      </c>
      <c r="G521">
        <v>4</v>
      </c>
      <c r="H521">
        <v>464.29</v>
      </c>
      <c r="I521" s="6" t="s">
        <v>2800</v>
      </c>
      <c r="J521" s="6" t="s">
        <v>3065</v>
      </c>
      <c r="K521" s="6" t="s">
        <v>3072</v>
      </c>
      <c r="L521" t="s">
        <v>3594</v>
      </c>
      <c r="M521">
        <v>5</v>
      </c>
      <c r="N521" t="s">
        <v>4275</v>
      </c>
      <c r="O521" t="s">
        <v>4280</v>
      </c>
      <c r="P521">
        <v>1857.16</v>
      </c>
    </row>
    <row r="522" spans="1:16" x14ac:dyDescent="0.3">
      <c r="A522" t="s">
        <v>534</v>
      </c>
      <c r="B522" s="3">
        <v>44995</v>
      </c>
      <c r="C522" s="7" t="str">
        <f t="shared" si="16"/>
        <v>2023</v>
      </c>
      <c r="D522" s="7" t="str">
        <f t="shared" si="17"/>
        <v>Mar</v>
      </c>
      <c r="E522" s="6" t="s">
        <v>1734</v>
      </c>
      <c r="F522" s="5" t="s">
        <v>2403</v>
      </c>
      <c r="G522">
        <v>3</v>
      </c>
      <c r="H522">
        <v>635.98</v>
      </c>
      <c r="I522" s="6" t="s">
        <v>2801</v>
      </c>
      <c r="J522" s="6" t="s">
        <v>3069</v>
      </c>
      <c r="K522" s="6" t="s">
        <v>3072</v>
      </c>
      <c r="L522" t="s">
        <v>3595</v>
      </c>
      <c r="M522">
        <v>5</v>
      </c>
      <c r="N522" t="s">
        <v>4285</v>
      </c>
      <c r="O522" t="s">
        <v>4279</v>
      </c>
      <c r="P522">
        <v>1907.94</v>
      </c>
    </row>
    <row r="523" spans="1:16" x14ac:dyDescent="0.3">
      <c r="A523" t="s">
        <v>535</v>
      </c>
      <c r="B523" s="3">
        <v>45347</v>
      </c>
      <c r="C523" s="7" t="str">
        <f t="shared" si="16"/>
        <v>2024</v>
      </c>
      <c r="D523" s="7" t="str">
        <f t="shared" si="17"/>
        <v>Feb</v>
      </c>
      <c r="E523" s="6" t="s">
        <v>1735</v>
      </c>
      <c r="F523" s="5" t="s">
        <v>2404</v>
      </c>
      <c r="G523">
        <v>1</v>
      </c>
      <c r="H523">
        <v>528.05999999999995</v>
      </c>
      <c r="I523" s="6" t="s">
        <v>2802</v>
      </c>
      <c r="J523" s="6" t="s">
        <v>3067</v>
      </c>
      <c r="K523" s="6" t="s">
        <v>3070</v>
      </c>
      <c r="L523" t="s">
        <v>3596</v>
      </c>
      <c r="M523">
        <v>2</v>
      </c>
      <c r="N523" t="s">
        <v>4285</v>
      </c>
      <c r="O523" t="s">
        <v>4281</v>
      </c>
      <c r="P523">
        <v>528.05999999999995</v>
      </c>
    </row>
    <row r="524" spans="1:16" x14ac:dyDescent="0.3">
      <c r="A524" t="s">
        <v>536</v>
      </c>
      <c r="B524" s="3">
        <v>45402</v>
      </c>
      <c r="C524" s="7" t="str">
        <f t="shared" si="16"/>
        <v>2024</v>
      </c>
      <c r="D524" s="7" t="str">
        <f t="shared" si="17"/>
        <v>Apr</v>
      </c>
      <c r="E524" s="6" t="s">
        <v>1736</v>
      </c>
      <c r="F524" s="5" t="s">
        <v>2406</v>
      </c>
      <c r="G524">
        <v>1</v>
      </c>
      <c r="H524">
        <v>515.32000000000005</v>
      </c>
      <c r="I524" s="6" t="s">
        <v>2650</v>
      </c>
      <c r="J524" s="6" t="s">
        <v>3068</v>
      </c>
      <c r="K524" s="6" t="s">
        <v>3071</v>
      </c>
      <c r="L524" t="s">
        <v>3597</v>
      </c>
      <c r="M524">
        <v>1</v>
      </c>
      <c r="N524" t="s">
        <v>4276</v>
      </c>
      <c r="O524" t="s">
        <v>4280</v>
      </c>
      <c r="P524">
        <v>515.32000000000005</v>
      </c>
    </row>
    <row r="525" spans="1:16" x14ac:dyDescent="0.3">
      <c r="A525" t="s">
        <v>537</v>
      </c>
      <c r="B525" s="3">
        <v>45706</v>
      </c>
      <c r="C525" s="7" t="str">
        <f t="shared" si="16"/>
        <v>2025</v>
      </c>
      <c r="D525" s="7" t="str">
        <f t="shared" si="17"/>
        <v>Feb</v>
      </c>
      <c r="E525" s="6" t="s">
        <v>1737</v>
      </c>
      <c r="F525" s="5" t="s">
        <v>2409</v>
      </c>
      <c r="G525">
        <v>4</v>
      </c>
      <c r="H525">
        <v>657.79</v>
      </c>
      <c r="I525" s="6" t="s">
        <v>2741</v>
      </c>
      <c r="J525" s="6" t="s">
        <v>3067</v>
      </c>
      <c r="K525" s="6" t="s">
        <v>3072</v>
      </c>
      <c r="L525" t="s">
        <v>3598</v>
      </c>
      <c r="M525">
        <v>6</v>
      </c>
      <c r="N525" t="s">
        <v>4277</v>
      </c>
      <c r="O525" t="s">
        <v>4282</v>
      </c>
      <c r="P525">
        <v>2631.16</v>
      </c>
    </row>
    <row r="526" spans="1:16" x14ac:dyDescent="0.3">
      <c r="A526" t="s">
        <v>538</v>
      </c>
      <c r="B526" s="3">
        <v>45224</v>
      </c>
      <c r="C526" s="7" t="str">
        <f t="shared" si="16"/>
        <v>2023</v>
      </c>
      <c r="D526" s="7" t="str">
        <f t="shared" si="17"/>
        <v>Oct</v>
      </c>
      <c r="E526" s="6" t="s">
        <v>1738</v>
      </c>
      <c r="F526" s="5" t="s">
        <v>2404</v>
      </c>
      <c r="G526">
        <v>1</v>
      </c>
      <c r="H526">
        <v>153</v>
      </c>
      <c r="I526" s="6" t="s">
        <v>2483</v>
      </c>
      <c r="J526" s="6" t="s">
        <v>3067</v>
      </c>
      <c r="K526" s="6" t="s">
        <v>3072</v>
      </c>
      <c r="L526" t="s">
        <v>3599</v>
      </c>
      <c r="M526">
        <v>4</v>
      </c>
      <c r="N526" t="s">
        <v>4285</v>
      </c>
      <c r="O526" t="s">
        <v>4279</v>
      </c>
      <c r="P526">
        <v>153</v>
      </c>
    </row>
    <row r="527" spans="1:16" x14ac:dyDescent="0.3">
      <c r="A527" t="s">
        <v>539</v>
      </c>
      <c r="B527" s="3">
        <v>45263</v>
      </c>
      <c r="C527" s="7" t="str">
        <f t="shared" si="16"/>
        <v>2023</v>
      </c>
      <c r="D527" s="7" t="str">
        <f t="shared" si="17"/>
        <v>Dec</v>
      </c>
      <c r="E527" s="6" t="s">
        <v>1739</v>
      </c>
      <c r="F527" s="5" t="s">
        <v>2403</v>
      </c>
      <c r="G527">
        <v>1</v>
      </c>
      <c r="H527">
        <v>668.48</v>
      </c>
      <c r="I527" s="6" t="s">
        <v>2762</v>
      </c>
      <c r="J527" s="6" t="s">
        <v>3065</v>
      </c>
      <c r="K527" s="6" t="s">
        <v>3070</v>
      </c>
      <c r="L527" t="s">
        <v>3600</v>
      </c>
      <c r="M527">
        <v>1</v>
      </c>
      <c r="N527" t="s">
        <v>4275</v>
      </c>
      <c r="O527" t="s">
        <v>4280</v>
      </c>
      <c r="P527">
        <v>668.48</v>
      </c>
    </row>
    <row r="528" spans="1:16" x14ac:dyDescent="0.3">
      <c r="A528" t="s">
        <v>540</v>
      </c>
      <c r="B528" s="3">
        <v>45351</v>
      </c>
      <c r="C528" s="7" t="str">
        <f t="shared" si="16"/>
        <v>2024</v>
      </c>
      <c r="D528" s="7" t="str">
        <f t="shared" si="17"/>
        <v>Feb</v>
      </c>
      <c r="E528" s="6" t="s">
        <v>1740</v>
      </c>
      <c r="F528" s="5" t="s">
        <v>2409</v>
      </c>
      <c r="G528">
        <v>2</v>
      </c>
      <c r="H528">
        <v>46.5</v>
      </c>
      <c r="I528" s="6" t="s">
        <v>2497</v>
      </c>
      <c r="J528" s="6" t="s">
        <v>3069</v>
      </c>
      <c r="K528" s="6" t="s">
        <v>3072</v>
      </c>
      <c r="L528" t="s">
        <v>3601</v>
      </c>
      <c r="M528">
        <v>7</v>
      </c>
      <c r="N528" t="s">
        <v>4277</v>
      </c>
      <c r="O528" t="s">
        <v>4282</v>
      </c>
      <c r="P528">
        <v>93</v>
      </c>
    </row>
    <row r="529" spans="1:16" x14ac:dyDescent="0.3">
      <c r="A529" t="s">
        <v>541</v>
      </c>
      <c r="B529" s="3">
        <v>45523</v>
      </c>
      <c r="C529" s="7" t="str">
        <f t="shared" si="16"/>
        <v>2024</v>
      </c>
      <c r="D529" s="7" t="str">
        <f t="shared" si="17"/>
        <v>Aug</v>
      </c>
      <c r="E529" s="6" t="s">
        <v>1741</v>
      </c>
      <c r="F529" s="5" t="s">
        <v>2406</v>
      </c>
      <c r="G529">
        <v>5</v>
      </c>
      <c r="H529">
        <v>653.47</v>
      </c>
      <c r="I529" s="6" t="s">
        <v>2488</v>
      </c>
      <c r="J529" s="6" t="s">
        <v>3067</v>
      </c>
      <c r="K529" s="6" t="s">
        <v>3071</v>
      </c>
      <c r="L529" t="s">
        <v>3602</v>
      </c>
      <c r="M529">
        <v>10</v>
      </c>
      <c r="N529" t="s">
        <v>4275</v>
      </c>
      <c r="O529" t="s">
        <v>4279</v>
      </c>
      <c r="P529">
        <v>3267.35</v>
      </c>
    </row>
    <row r="530" spans="1:16" x14ac:dyDescent="0.3">
      <c r="A530" t="s">
        <v>542</v>
      </c>
      <c r="B530" s="3">
        <v>45714</v>
      </c>
      <c r="C530" s="7" t="str">
        <f t="shared" si="16"/>
        <v>2025</v>
      </c>
      <c r="D530" s="7" t="str">
        <f t="shared" si="17"/>
        <v>Feb</v>
      </c>
      <c r="E530" s="6" t="s">
        <v>1742</v>
      </c>
      <c r="F530" s="5" t="s">
        <v>2406</v>
      </c>
      <c r="G530">
        <v>1</v>
      </c>
      <c r="H530">
        <v>628.89</v>
      </c>
      <c r="I530" s="6" t="s">
        <v>2765</v>
      </c>
      <c r="J530" s="6" t="s">
        <v>3067</v>
      </c>
      <c r="K530" s="6" t="s">
        <v>3072</v>
      </c>
      <c r="L530" t="s">
        <v>3603</v>
      </c>
      <c r="M530">
        <v>2</v>
      </c>
      <c r="N530" t="s">
        <v>4275</v>
      </c>
      <c r="O530" t="s">
        <v>4279</v>
      </c>
      <c r="P530">
        <v>628.89</v>
      </c>
    </row>
    <row r="531" spans="1:16" x14ac:dyDescent="0.3">
      <c r="A531" t="s">
        <v>543</v>
      </c>
      <c r="B531" s="3">
        <v>45389</v>
      </c>
      <c r="C531" s="7" t="str">
        <f t="shared" si="16"/>
        <v>2024</v>
      </c>
      <c r="D531" s="7" t="str">
        <f t="shared" si="17"/>
        <v>Apr</v>
      </c>
      <c r="E531" s="6" t="s">
        <v>1743</v>
      </c>
      <c r="F531" s="5" t="s">
        <v>2405</v>
      </c>
      <c r="G531">
        <v>2</v>
      </c>
      <c r="H531">
        <v>675.1</v>
      </c>
      <c r="I531" s="6" t="s">
        <v>2803</v>
      </c>
      <c r="J531" s="6" t="s">
        <v>3069</v>
      </c>
      <c r="K531" s="6" t="s">
        <v>3074</v>
      </c>
      <c r="L531" t="s">
        <v>3604</v>
      </c>
      <c r="M531">
        <v>4</v>
      </c>
      <c r="N531" t="s">
        <v>4276</v>
      </c>
      <c r="O531" t="s">
        <v>4282</v>
      </c>
      <c r="P531">
        <v>1350.2</v>
      </c>
    </row>
    <row r="532" spans="1:16" x14ac:dyDescent="0.3">
      <c r="A532" t="s">
        <v>544</v>
      </c>
      <c r="B532" s="3">
        <v>45491</v>
      </c>
      <c r="C532" s="7" t="str">
        <f t="shared" si="16"/>
        <v>2024</v>
      </c>
      <c r="D532" s="7" t="str">
        <f t="shared" si="17"/>
        <v>Jul</v>
      </c>
      <c r="E532" s="6" t="s">
        <v>1744</v>
      </c>
      <c r="F532" s="5" t="s">
        <v>2406</v>
      </c>
      <c r="G532">
        <v>4</v>
      </c>
      <c r="H532">
        <v>89.41</v>
      </c>
      <c r="I532" s="6" t="s">
        <v>2804</v>
      </c>
      <c r="J532" s="6" t="s">
        <v>3066</v>
      </c>
      <c r="K532" s="6" t="s">
        <v>3074</v>
      </c>
      <c r="L532" t="s">
        <v>3605</v>
      </c>
      <c r="M532">
        <v>9</v>
      </c>
      <c r="N532" t="s">
        <v>4285</v>
      </c>
      <c r="O532" t="s">
        <v>4282</v>
      </c>
      <c r="P532">
        <v>357.64</v>
      </c>
    </row>
    <row r="533" spans="1:16" x14ac:dyDescent="0.3">
      <c r="A533" t="s">
        <v>545</v>
      </c>
      <c r="B533" s="3">
        <v>45475</v>
      </c>
      <c r="C533" s="7" t="str">
        <f t="shared" si="16"/>
        <v>2024</v>
      </c>
      <c r="D533" s="7" t="str">
        <f t="shared" si="17"/>
        <v>Jul</v>
      </c>
      <c r="E533" s="6" t="s">
        <v>1745</v>
      </c>
      <c r="F533" s="5" t="s">
        <v>2409</v>
      </c>
      <c r="G533">
        <v>5</v>
      </c>
      <c r="H533">
        <v>320.01</v>
      </c>
      <c r="I533" s="6" t="s">
        <v>2805</v>
      </c>
      <c r="J533" s="6" t="s">
        <v>3068</v>
      </c>
      <c r="K533" s="6" t="s">
        <v>3073</v>
      </c>
      <c r="L533" t="s">
        <v>3606</v>
      </c>
      <c r="M533">
        <v>6</v>
      </c>
      <c r="N533" t="s">
        <v>4285</v>
      </c>
      <c r="O533" t="s">
        <v>4279</v>
      </c>
      <c r="P533">
        <v>1600.05</v>
      </c>
    </row>
    <row r="534" spans="1:16" x14ac:dyDescent="0.3">
      <c r="A534" t="s">
        <v>546</v>
      </c>
      <c r="B534" s="3">
        <v>45780</v>
      </c>
      <c r="C534" s="7" t="str">
        <f t="shared" si="16"/>
        <v>2025</v>
      </c>
      <c r="D534" s="7" t="str">
        <f t="shared" si="17"/>
        <v>May</v>
      </c>
      <c r="E534" s="6" t="s">
        <v>1746</v>
      </c>
      <c r="F534" s="5" t="s">
        <v>2408</v>
      </c>
      <c r="G534">
        <v>2</v>
      </c>
      <c r="H534">
        <v>41</v>
      </c>
      <c r="I534" s="6" t="s">
        <v>2806</v>
      </c>
      <c r="J534" s="6" t="s">
        <v>3066</v>
      </c>
      <c r="K534" s="6" t="s">
        <v>3073</v>
      </c>
      <c r="L534" t="s">
        <v>3607</v>
      </c>
      <c r="M534">
        <v>7</v>
      </c>
      <c r="N534" t="s">
        <v>4285</v>
      </c>
      <c r="O534" t="s">
        <v>4280</v>
      </c>
      <c r="P534">
        <v>82</v>
      </c>
    </row>
    <row r="535" spans="1:16" x14ac:dyDescent="0.3">
      <c r="A535" t="s">
        <v>547</v>
      </c>
      <c r="B535" s="3">
        <v>44990</v>
      </c>
      <c r="C535" s="7" t="str">
        <f t="shared" si="16"/>
        <v>2023</v>
      </c>
      <c r="D535" s="7" t="str">
        <f t="shared" si="17"/>
        <v>Mar</v>
      </c>
      <c r="E535" s="6" t="s">
        <v>1747</v>
      </c>
      <c r="F535" s="5" t="s">
        <v>2409</v>
      </c>
      <c r="G535">
        <v>1</v>
      </c>
      <c r="H535">
        <v>565.85</v>
      </c>
      <c r="I535" s="6" t="s">
        <v>2472</v>
      </c>
      <c r="J535" s="6" t="s">
        <v>3068</v>
      </c>
      <c r="K535" s="6" t="s">
        <v>3072</v>
      </c>
      <c r="L535" t="s">
        <v>3608</v>
      </c>
      <c r="M535">
        <v>1</v>
      </c>
      <c r="N535" t="s">
        <v>4276</v>
      </c>
      <c r="O535" t="s">
        <v>4281</v>
      </c>
      <c r="P535">
        <v>565.85</v>
      </c>
    </row>
    <row r="536" spans="1:16" x14ac:dyDescent="0.3">
      <c r="A536" t="s">
        <v>548</v>
      </c>
      <c r="B536" s="3">
        <v>45449</v>
      </c>
      <c r="C536" s="7" t="str">
        <f t="shared" si="16"/>
        <v>2024</v>
      </c>
      <c r="D536" s="7" t="str">
        <f t="shared" si="17"/>
        <v>Jun</v>
      </c>
      <c r="E536" s="6" t="s">
        <v>1748</v>
      </c>
      <c r="F536" s="5" t="s">
        <v>2406</v>
      </c>
      <c r="G536">
        <v>3</v>
      </c>
      <c r="H536">
        <v>648.59</v>
      </c>
      <c r="I536" s="6" t="s">
        <v>2807</v>
      </c>
      <c r="J536" s="6" t="s">
        <v>3065</v>
      </c>
      <c r="K536" s="6" t="s">
        <v>3071</v>
      </c>
      <c r="L536" t="s">
        <v>3609</v>
      </c>
      <c r="M536">
        <v>4</v>
      </c>
      <c r="N536" t="s">
        <v>4275</v>
      </c>
      <c r="O536" t="s">
        <v>4280</v>
      </c>
      <c r="P536">
        <v>1945.77</v>
      </c>
    </row>
    <row r="537" spans="1:16" x14ac:dyDescent="0.3">
      <c r="A537" t="s">
        <v>549</v>
      </c>
      <c r="B537" s="3">
        <v>45497</v>
      </c>
      <c r="C537" s="7" t="str">
        <f t="shared" si="16"/>
        <v>2024</v>
      </c>
      <c r="D537" s="7" t="str">
        <f t="shared" si="17"/>
        <v>Jul</v>
      </c>
      <c r="E537" s="6" t="s">
        <v>1749</v>
      </c>
      <c r="F537" s="5" t="s">
        <v>2403</v>
      </c>
      <c r="G537">
        <v>3</v>
      </c>
      <c r="H537">
        <v>68.12</v>
      </c>
      <c r="I537" s="6" t="s">
        <v>2567</v>
      </c>
      <c r="J537" s="6" t="s">
        <v>3066</v>
      </c>
      <c r="K537" s="6" t="s">
        <v>3071</v>
      </c>
      <c r="L537" t="s">
        <v>3610</v>
      </c>
      <c r="M537">
        <v>3</v>
      </c>
      <c r="N537" t="s">
        <v>4276</v>
      </c>
      <c r="O537" t="s">
        <v>4280</v>
      </c>
      <c r="P537">
        <v>204.36</v>
      </c>
    </row>
    <row r="538" spans="1:16" x14ac:dyDescent="0.3">
      <c r="A538" t="s">
        <v>550</v>
      </c>
      <c r="B538" s="3">
        <v>45452</v>
      </c>
      <c r="C538" s="7" t="str">
        <f t="shared" si="16"/>
        <v>2024</v>
      </c>
      <c r="D538" s="7" t="str">
        <f t="shared" si="17"/>
        <v>Jun</v>
      </c>
      <c r="E538" s="6" t="s">
        <v>1750</v>
      </c>
      <c r="F538" s="5" t="s">
        <v>2406</v>
      </c>
      <c r="G538">
        <v>1</v>
      </c>
      <c r="H538">
        <v>616.1</v>
      </c>
      <c r="I538" s="6" t="s">
        <v>2808</v>
      </c>
      <c r="J538" s="6" t="s">
        <v>3069</v>
      </c>
      <c r="K538" s="6" t="s">
        <v>3072</v>
      </c>
      <c r="L538" t="s">
        <v>3611</v>
      </c>
      <c r="M538">
        <v>6</v>
      </c>
      <c r="N538" t="s">
        <v>4285</v>
      </c>
      <c r="O538" t="s">
        <v>4280</v>
      </c>
      <c r="P538">
        <v>616.1</v>
      </c>
    </row>
    <row r="539" spans="1:16" x14ac:dyDescent="0.3">
      <c r="A539" t="s">
        <v>551</v>
      </c>
      <c r="B539" s="3">
        <v>45739</v>
      </c>
      <c r="C539" s="7" t="str">
        <f t="shared" si="16"/>
        <v>2025</v>
      </c>
      <c r="D539" s="7" t="str">
        <f t="shared" si="17"/>
        <v>Mar</v>
      </c>
      <c r="E539" s="6" t="s">
        <v>1751</v>
      </c>
      <c r="F539" s="5" t="s">
        <v>2405</v>
      </c>
      <c r="G539">
        <v>3</v>
      </c>
      <c r="H539">
        <v>247.47</v>
      </c>
      <c r="I539" s="6" t="s">
        <v>2471</v>
      </c>
      <c r="J539" s="6" t="s">
        <v>3066</v>
      </c>
      <c r="K539" s="6" t="s">
        <v>3073</v>
      </c>
      <c r="L539" t="s">
        <v>3612</v>
      </c>
      <c r="M539">
        <v>4</v>
      </c>
      <c r="N539" t="s">
        <v>4275</v>
      </c>
      <c r="O539" t="s">
        <v>4281</v>
      </c>
      <c r="P539">
        <v>742.41</v>
      </c>
    </row>
    <row r="540" spans="1:16" x14ac:dyDescent="0.3">
      <c r="A540" t="s">
        <v>552</v>
      </c>
      <c r="B540" s="3">
        <v>45436</v>
      </c>
      <c r="C540" s="7" t="str">
        <f t="shared" si="16"/>
        <v>2024</v>
      </c>
      <c r="D540" s="7" t="str">
        <f t="shared" si="17"/>
        <v>May</v>
      </c>
      <c r="E540" s="6" t="s">
        <v>1752</v>
      </c>
      <c r="F540" s="5" t="s">
        <v>2404</v>
      </c>
      <c r="G540">
        <v>3</v>
      </c>
      <c r="H540">
        <v>490.74</v>
      </c>
      <c r="I540" s="6" t="s">
        <v>2809</v>
      </c>
      <c r="J540" s="6" t="s">
        <v>3069</v>
      </c>
      <c r="K540" s="6" t="s">
        <v>3070</v>
      </c>
      <c r="L540" t="s">
        <v>3613</v>
      </c>
      <c r="M540">
        <v>3</v>
      </c>
      <c r="N540" t="s">
        <v>4277</v>
      </c>
      <c r="O540" t="s">
        <v>4280</v>
      </c>
      <c r="P540">
        <v>1472.22</v>
      </c>
    </row>
    <row r="541" spans="1:16" x14ac:dyDescent="0.3">
      <c r="A541" t="s">
        <v>553</v>
      </c>
      <c r="B541" s="3">
        <v>45706</v>
      </c>
      <c r="C541" s="7" t="str">
        <f t="shared" si="16"/>
        <v>2025</v>
      </c>
      <c r="D541" s="7" t="str">
        <f t="shared" si="17"/>
        <v>Feb</v>
      </c>
      <c r="E541" s="6" t="s">
        <v>1753</v>
      </c>
      <c r="F541" s="5" t="s">
        <v>2409</v>
      </c>
      <c r="G541">
        <v>3</v>
      </c>
      <c r="H541">
        <v>531.72</v>
      </c>
      <c r="I541" s="6" t="s">
        <v>2810</v>
      </c>
      <c r="J541" s="6" t="s">
        <v>3068</v>
      </c>
      <c r="K541" s="6" t="s">
        <v>3073</v>
      </c>
      <c r="L541" t="s">
        <v>3614</v>
      </c>
      <c r="M541">
        <v>7</v>
      </c>
      <c r="N541" t="s">
        <v>4275</v>
      </c>
      <c r="O541" t="s">
        <v>4282</v>
      </c>
      <c r="P541">
        <v>1595.16</v>
      </c>
    </row>
    <row r="542" spans="1:16" x14ac:dyDescent="0.3">
      <c r="A542" t="s">
        <v>554</v>
      </c>
      <c r="B542" s="3">
        <v>45320</v>
      </c>
      <c r="C542" s="7" t="str">
        <f t="shared" si="16"/>
        <v>2024</v>
      </c>
      <c r="D542" s="7" t="str">
        <f t="shared" si="17"/>
        <v>Jan</v>
      </c>
      <c r="E542" s="6" t="s">
        <v>1754</v>
      </c>
      <c r="F542" s="5" t="s">
        <v>2408</v>
      </c>
      <c r="G542">
        <v>5</v>
      </c>
      <c r="H542">
        <v>648.65</v>
      </c>
      <c r="I542" s="6" t="s">
        <v>2811</v>
      </c>
      <c r="J542" s="6" t="s">
        <v>3066</v>
      </c>
      <c r="K542" s="6" t="s">
        <v>3074</v>
      </c>
      <c r="L542" t="s">
        <v>3615</v>
      </c>
      <c r="M542">
        <v>7</v>
      </c>
      <c r="N542" t="s">
        <v>4285</v>
      </c>
      <c r="O542" t="s">
        <v>4279</v>
      </c>
      <c r="P542">
        <v>3243.25</v>
      </c>
    </row>
    <row r="543" spans="1:16" x14ac:dyDescent="0.3">
      <c r="A543" t="s">
        <v>555</v>
      </c>
      <c r="B543" s="3">
        <v>45145</v>
      </c>
      <c r="C543" s="7" t="str">
        <f t="shared" si="16"/>
        <v>2023</v>
      </c>
      <c r="D543" s="7" t="str">
        <f t="shared" si="17"/>
        <v>Aug</v>
      </c>
      <c r="E543" s="6" t="s">
        <v>1755</v>
      </c>
      <c r="F543" s="5" t="s">
        <v>2407</v>
      </c>
      <c r="G543">
        <v>5</v>
      </c>
      <c r="H543">
        <v>456.06</v>
      </c>
      <c r="I543" s="6" t="s">
        <v>2812</v>
      </c>
      <c r="J543" s="6" t="s">
        <v>3069</v>
      </c>
      <c r="K543" s="6" t="s">
        <v>3074</v>
      </c>
      <c r="L543" t="s">
        <v>3616</v>
      </c>
      <c r="M543">
        <v>10</v>
      </c>
      <c r="N543" t="s">
        <v>4285</v>
      </c>
      <c r="O543" t="s">
        <v>4278</v>
      </c>
      <c r="P543">
        <v>2280.3000000000002</v>
      </c>
    </row>
    <row r="544" spans="1:16" x14ac:dyDescent="0.3">
      <c r="A544" t="s">
        <v>556</v>
      </c>
      <c r="B544" s="3">
        <v>45244</v>
      </c>
      <c r="C544" s="7" t="str">
        <f t="shared" si="16"/>
        <v>2023</v>
      </c>
      <c r="D544" s="7" t="str">
        <f t="shared" si="17"/>
        <v>Nov</v>
      </c>
      <c r="E544" s="6" t="s">
        <v>1756</v>
      </c>
      <c r="F544" s="5" t="s">
        <v>2405</v>
      </c>
      <c r="G544">
        <v>1</v>
      </c>
      <c r="H544">
        <v>17.98</v>
      </c>
      <c r="I544" s="6" t="s">
        <v>2415</v>
      </c>
      <c r="J544" s="6" t="s">
        <v>3069</v>
      </c>
      <c r="K544" s="6" t="s">
        <v>3071</v>
      </c>
      <c r="L544" t="s">
        <v>3617</v>
      </c>
      <c r="M544">
        <v>6</v>
      </c>
      <c r="N544" t="s">
        <v>4276</v>
      </c>
      <c r="O544" t="s">
        <v>4280</v>
      </c>
      <c r="P544">
        <v>17.98</v>
      </c>
    </row>
    <row r="545" spans="1:16" x14ac:dyDescent="0.3">
      <c r="A545" t="s">
        <v>557</v>
      </c>
      <c r="B545" s="3">
        <v>45360</v>
      </c>
      <c r="C545" s="7" t="str">
        <f t="shared" si="16"/>
        <v>2024</v>
      </c>
      <c r="D545" s="7" t="str">
        <f t="shared" si="17"/>
        <v>Mar</v>
      </c>
      <c r="E545" s="6" t="s">
        <v>1757</v>
      </c>
      <c r="F545" s="5" t="s">
        <v>2409</v>
      </c>
      <c r="G545">
        <v>5</v>
      </c>
      <c r="H545">
        <v>269.86</v>
      </c>
      <c r="I545" s="6" t="s">
        <v>2569</v>
      </c>
      <c r="J545" s="6" t="s">
        <v>3069</v>
      </c>
      <c r="K545" s="6" t="s">
        <v>3070</v>
      </c>
      <c r="L545" t="s">
        <v>3618</v>
      </c>
      <c r="M545">
        <v>6</v>
      </c>
      <c r="N545" t="s">
        <v>4277</v>
      </c>
      <c r="O545" t="s">
        <v>4281</v>
      </c>
      <c r="P545">
        <v>1349.3</v>
      </c>
    </row>
    <row r="546" spans="1:16" x14ac:dyDescent="0.3">
      <c r="A546" t="s">
        <v>558</v>
      </c>
      <c r="B546" s="3">
        <v>45361</v>
      </c>
      <c r="C546" s="7" t="str">
        <f t="shared" si="16"/>
        <v>2024</v>
      </c>
      <c r="D546" s="7" t="str">
        <f t="shared" si="17"/>
        <v>Mar</v>
      </c>
      <c r="E546" s="6" t="s">
        <v>1758</v>
      </c>
      <c r="F546" s="5" t="s">
        <v>2407</v>
      </c>
      <c r="G546">
        <v>5</v>
      </c>
      <c r="H546">
        <v>31.96</v>
      </c>
      <c r="I546" s="6" t="s">
        <v>2726</v>
      </c>
      <c r="J546" s="6" t="s">
        <v>3067</v>
      </c>
      <c r="K546" s="6" t="s">
        <v>3072</v>
      </c>
      <c r="L546" t="s">
        <v>3619</v>
      </c>
      <c r="M546">
        <v>5</v>
      </c>
      <c r="N546" t="s">
        <v>4276</v>
      </c>
      <c r="O546" t="s">
        <v>4279</v>
      </c>
      <c r="P546">
        <v>159.80000000000001</v>
      </c>
    </row>
    <row r="547" spans="1:16" x14ac:dyDescent="0.3">
      <c r="A547" t="s">
        <v>559</v>
      </c>
      <c r="B547" s="3">
        <v>45279</v>
      </c>
      <c r="C547" s="7" t="str">
        <f t="shared" si="16"/>
        <v>2023</v>
      </c>
      <c r="D547" s="7" t="str">
        <f t="shared" si="17"/>
        <v>Dec</v>
      </c>
      <c r="E547" s="6" t="s">
        <v>1759</v>
      </c>
      <c r="F547" s="5" t="s">
        <v>2403</v>
      </c>
      <c r="G547">
        <v>2</v>
      </c>
      <c r="H547">
        <v>98.47</v>
      </c>
      <c r="I547" s="6" t="s">
        <v>2813</v>
      </c>
      <c r="J547" s="6" t="s">
        <v>3069</v>
      </c>
      <c r="K547" s="6" t="s">
        <v>3072</v>
      </c>
      <c r="L547" t="s">
        <v>3620</v>
      </c>
      <c r="M547">
        <v>3</v>
      </c>
      <c r="N547" t="s">
        <v>4285</v>
      </c>
      <c r="O547" t="s">
        <v>4278</v>
      </c>
      <c r="P547">
        <v>196.94</v>
      </c>
    </row>
    <row r="548" spans="1:16" x14ac:dyDescent="0.3">
      <c r="A548" t="s">
        <v>560</v>
      </c>
      <c r="B548" s="3">
        <v>45352</v>
      </c>
      <c r="C548" s="7" t="str">
        <f t="shared" si="16"/>
        <v>2024</v>
      </c>
      <c r="D548" s="7" t="str">
        <f t="shared" si="17"/>
        <v>Mar</v>
      </c>
      <c r="E548" s="6" t="s">
        <v>1760</v>
      </c>
      <c r="F548" s="5" t="s">
        <v>2403</v>
      </c>
      <c r="G548">
        <v>1</v>
      </c>
      <c r="H548">
        <v>158.68</v>
      </c>
      <c r="I548" s="6" t="s">
        <v>2410</v>
      </c>
      <c r="J548" s="6" t="s">
        <v>3067</v>
      </c>
      <c r="K548" s="6" t="s">
        <v>3072</v>
      </c>
      <c r="L548" t="s">
        <v>3621</v>
      </c>
      <c r="M548">
        <v>6</v>
      </c>
      <c r="N548" t="s">
        <v>4277</v>
      </c>
      <c r="O548" t="s">
        <v>4278</v>
      </c>
      <c r="P548">
        <v>158.68</v>
      </c>
    </row>
    <row r="549" spans="1:16" x14ac:dyDescent="0.3">
      <c r="A549" t="s">
        <v>561</v>
      </c>
      <c r="B549" s="3">
        <v>45158</v>
      </c>
      <c r="C549" s="7" t="str">
        <f t="shared" si="16"/>
        <v>2023</v>
      </c>
      <c r="D549" s="7" t="str">
        <f t="shared" si="17"/>
        <v>Aug</v>
      </c>
      <c r="E549" s="6" t="s">
        <v>1761</v>
      </c>
      <c r="F549" s="5" t="s">
        <v>2404</v>
      </c>
      <c r="G549">
        <v>1</v>
      </c>
      <c r="H549">
        <v>613.98</v>
      </c>
      <c r="I549" s="6" t="s">
        <v>2814</v>
      </c>
      <c r="J549" s="6" t="s">
        <v>3066</v>
      </c>
      <c r="K549" s="6" t="s">
        <v>3073</v>
      </c>
      <c r="L549" t="s">
        <v>3622</v>
      </c>
      <c r="M549">
        <v>4</v>
      </c>
      <c r="N549" t="s">
        <v>4276</v>
      </c>
      <c r="O549" t="s">
        <v>4281</v>
      </c>
      <c r="P549">
        <v>613.98</v>
      </c>
    </row>
    <row r="550" spans="1:16" x14ac:dyDescent="0.3">
      <c r="A550" t="s">
        <v>562</v>
      </c>
      <c r="B550" s="3">
        <v>45296</v>
      </c>
      <c r="C550" s="7" t="str">
        <f t="shared" si="16"/>
        <v>2024</v>
      </c>
      <c r="D550" s="7" t="str">
        <f t="shared" si="17"/>
        <v>Jan</v>
      </c>
      <c r="E550" s="6" t="s">
        <v>1762</v>
      </c>
      <c r="F550" s="5" t="s">
        <v>2407</v>
      </c>
      <c r="G550">
        <v>3</v>
      </c>
      <c r="H550">
        <v>426.12</v>
      </c>
      <c r="I550" s="6" t="s">
        <v>2500</v>
      </c>
      <c r="J550" s="6" t="s">
        <v>3066</v>
      </c>
      <c r="K550" s="6" t="s">
        <v>3073</v>
      </c>
      <c r="L550" t="s">
        <v>3623</v>
      </c>
      <c r="M550">
        <v>5</v>
      </c>
      <c r="N550" t="s">
        <v>4277</v>
      </c>
      <c r="O550" t="s">
        <v>4278</v>
      </c>
      <c r="P550">
        <v>1278.3599999999999</v>
      </c>
    </row>
    <row r="551" spans="1:16" x14ac:dyDescent="0.3">
      <c r="A551" t="s">
        <v>563</v>
      </c>
      <c r="B551" s="3">
        <v>45713</v>
      </c>
      <c r="C551" s="7" t="str">
        <f t="shared" si="16"/>
        <v>2025</v>
      </c>
      <c r="D551" s="7" t="str">
        <f t="shared" si="17"/>
        <v>Feb</v>
      </c>
      <c r="E551" s="6" t="s">
        <v>1763</v>
      </c>
      <c r="F551" s="5" t="s">
        <v>2403</v>
      </c>
      <c r="G551">
        <v>4</v>
      </c>
      <c r="H551">
        <v>629.88</v>
      </c>
      <c r="I551" s="6" t="s">
        <v>2815</v>
      </c>
      <c r="J551" s="6" t="s">
        <v>3065</v>
      </c>
      <c r="K551" s="6" t="s">
        <v>3071</v>
      </c>
      <c r="L551" t="s">
        <v>3624</v>
      </c>
      <c r="M551">
        <v>8</v>
      </c>
      <c r="N551" t="s">
        <v>4277</v>
      </c>
      <c r="O551" t="s">
        <v>4278</v>
      </c>
      <c r="P551">
        <v>2519.52</v>
      </c>
    </row>
    <row r="552" spans="1:16" x14ac:dyDescent="0.3">
      <c r="A552" t="s">
        <v>564</v>
      </c>
      <c r="B552" s="3">
        <v>45228</v>
      </c>
      <c r="C552" s="7" t="str">
        <f t="shared" si="16"/>
        <v>2023</v>
      </c>
      <c r="D552" s="7" t="str">
        <f t="shared" si="17"/>
        <v>Oct</v>
      </c>
      <c r="E552" s="6" t="s">
        <v>1764</v>
      </c>
      <c r="F552" s="5" t="s">
        <v>2408</v>
      </c>
      <c r="G552">
        <v>4</v>
      </c>
      <c r="H552">
        <v>228.91</v>
      </c>
      <c r="I552" s="6" t="s">
        <v>2542</v>
      </c>
      <c r="J552" s="6" t="s">
        <v>3069</v>
      </c>
      <c r="K552" s="6" t="s">
        <v>3070</v>
      </c>
      <c r="L552" t="s">
        <v>3625</v>
      </c>
      <c r="M552">
        <v>4</v>
      </c>
      <c r="N552" t="s">
        <v>4276</v>
      </c>
      <c r="O552" t="s">
        <v>4282</v>
      </c>
      <c r="P552">
        <v>915.64</v>
      </c>
    </row>
    <row r="553" spans="1:16" x14ac:dyDescent="0.3">
      <c r="A553" t="s">
        <v>565</v>
      </c>
      <c r="B553" s="3">
        <v>45064</v>
      </c>
      <c r="C553" s="7" t="str">
        <f t="shared" si="16"/>
        <v>2023</v>
      </c>
      <c r="D553" s="7" t="str">
        <f t="shared" si="17"/>
        <v>May</v>
      </c>
      <c r="E553" s="6" t="s">
        <v>1765</v>
      </c>
      <c r="F553" s="5" t="s">
        <v>2408</v>
      </c>
      <c r="G553">
        <v>1</v>
      </c>
      <c r="H553">
        <v>120.98</v>
      </c>
      <c r="I553" s="6" t="s">
        <v>2528</v>
      </c>
      <c r="J553" s="6" t="s">
        <v>3065</v>
      </c>
      <c r="K553" s="6" t="s">
        <v>3073</v>
      </c>
      <c r="L553" t="s">
        <v>3626</v>
      </c>
      <c r="M553">
        <v>6</v>
      </c>
      <c r="N553" t="s">
        <v>4277</v>
      </c>
      <c r="O553" t="s">
        <v>4280</v>
      </c>
      <c r="P553">
        <v>120.98</v>
      </c>
    </row>
    <row r="554" spans="1:16" x14ac:dyDescent="0.3">
      <c r="A554" t="s">
        <v>566</v>
      </c>
      <c r="B554" s="3">
        <v>45199</v>
      </c>
      <c r="C554" s="7" t="str">
        <f t="shared" si="16"/>
        <v>2023</v>
      </c>
      <c r="D554" s="7" t="str">
        <f t="shared" si="17"/>
        <v>Sept</v>
      </c>
      <c r="E554" s="6" t="s">
        <v>1766</v>
      </c>
      <c r="F554" s="5" t="s">
        <v>2406</v>
      </c>
      <c r="G554">
        <v>4</v>
      </c>
      <c r="H554">
        <v>425.18</v>
      </c>
      <c r="I554" s="6" t="s">
        <v>2798</v>
      </c>
      <c r="J554" s="6" t="s">
        <v>3066</v>
      </c>
      <c r="K554" s="6" t="s">
        <v>3072</v>
      </c>
      <c r="L554" t="s">
        <v>3627</v>
      </c>
      <c r="M554">
        <v>8</v>
      </c>
      <c r="N554" t="s">
        <v>4277</v>
      </c>
      <c r="O554" t="s">
        <v>4281</v>
      </c>
      <c r="P554">
        <v>1700.72</v>
      </c>
    </row>
    <row r="555" spans="1:16" x14ac:dyDescent="0.3">
      <c r="A555" t="s">
        <v>567</v>
      </c>
      <c r="B555" s="3">
        <v>45161</v>
      </c>
      <c r="C555" s="7" t="str">
        <f t="shared" si="16"/>
        <v>2023</v>
      </c>
      <c r="D555" s="7" t="str">
        <f t="shared" si="17"/>
        <v>Aug</v>
      </c>
      <c r="E555" s="6" t="s">
        <v>1767</v>
      </c>
      <c r="F555" s="5" t="s">
        <v>2404</v>
      </c>
      <c r="G555">
        <v>2</v>
      </c>
      <c r="H555">
        <v>333.83</v>
      </c>
      <c r="I555" s="6" t="s">
        <v>2816</v>
      </c>
      <c r="J555" s="6" t="s">
        <v>3068</v>
      </c>
      <c r="K555" s="6" t="s">
        <v>3071</v>
      </c>
      <c r="L555" t="s">
        <v>3628</v>
      </c>
      <c r="M555">
        <v>4</v>
      </c>
      <c r="N555" t="s">
        <v>4276</v>
      </c>
      <c r="O555" t="s">
        <v>4279</v>
      </c>
      <c r="P555">
        <v>667.66</v>
      </c>
    </row>
    <row r="556" spans="1:16" x14ac:dyDescent="0.3">
      <c r="A556" t="s">
        <v>568</v>
      </c>
      <c r="B556" s="3">
        <v>45807</v>
      </c>
      <c r="C556" s="7" t="str">
        <f t="shared" si="16"/>
        <v>2025</v>
      </c>
      <c r="D556" s="7" t="str">
        <f t="shared" si="17"/>
        <v>May</v>
      </c>
      <c r="E556" s="6" t="s">
        <v>1768</v>
      </c>
      <c r="F556" s="5" t="s">
        <v>2408</v>
      </c>
      <c r="G556">
        <v>2</v>
      </c>
      <c r="H556">
        <v>492.9</v>
      </c>
      <c r="I556" s="6" t="s">
        <v>2610</v>
      </c>
      <c r="J556" s="6" t="s">
        <v>3069</v>
      </c>
      <c r="K556" s="6" t="s">
        <v>3072</v>
      </c>
      <c r="L556" t="s">
        <v>3629</v>
      </c>
      <c r="M556">
        <v>5</v>
      </c>
      <c r="N556" t="s">
        <v>4276</v>
      </c>
      <c r="O556" t="s">
        <v>4278</v>
      </c>
      <c r="P556">
        <v>985.8</v>
      </c>
    </row>
    <row r="557" spans="1:16" x14ac:dyDescent="0.3">
      <c r="A557" t="s">
        <v>569</v>
      </c>
      <c r="B557" s="3">
        <v>44933</v>
      </c>
      <c r="C557" s="7" t="str">
        <f t="shared" si="16"/>
        <v>2023</v>
      </c>
      <c r="D557" s="7" t="str">
        <f t="shared" si="17"/>
        <v>Jan</v>
      </c>
      <c r="E557" s="6" t="s">
        <v>1769</v>
      </c>
      <c r="F557" s="5" t="s">
        <v>2405</v>
      </c>
      <c r="G557">
        <v>1</v>
      </c>
      <c r="H557">
        <v>92.04</v>
      </c>
      <c r="I557" s="6" t="s">
        <v>2420</v>
      </c>
      <c r="J557" s="6" t="s">
        <v>3069</v>
      </c>
      <c r="K557" s="6" t="s">
        <v>3070</v>
      </c>
      <c r="L557" t="s">
        <v>3630</v>
      </c>
      <c r="M557">
        <v>2</v>
      </c>
      <c r="N557" t="s">
        <v>4285</v>
      </c>
      <c r="O557" t="s">
        <v>4281</v>
      </c>
      <c r="P557">
        <v>92.04</v>
      </c>
    </row>
    <row r="558" spans="1:16" x14ac:dyDescent="0.3">
      <c r="A558" t="s">
        <v>570</v>
      </c>
      <c r="B558" s="3">
        <v>44954</v>
      </c>
      <c r="C558" s="7" t="str">
        <f t="shared" si="16"/>
        <v>2023</v>
      </c>
      <c r="D558" s="7" t="str">
        <f t="shared" si="17"/>
        <v>Jan</v>
      </c>
      <c r="E558" s="6" t="s">
        <v>1770</v>
      </c>
      <c r="F558" s="5" t="s">
        <v>2408</v>
      </c>
      <c r="G558">
        <v>1</v>
      </c>
      <c r="H558">
        <v>654.27</v>
      </c>
      <c r="I558" s="6" t="s">
        <v>2817</v>
      </c>
      <c r="J558" s="6" t="s">
        <v>3068</v>
      </c>
      <c r="K558" s="6" t="s">
        <v>3074</v>
      </c>
      <c r="L558" t="s">
        <v>3631</v>
      </c>
      <c r="M558">
        <v>2</v>
      </c>
      <c r="N558" t="s">
        <v>4275</v>
      </c>
      <c r="O558" t="s">
        <v>4281</v>
      </c>
      <c r="P558">
        <v>654.27</v>
      </c>
    </row>
    <row r="559" spans="1:16" x14ac:dyDescent="0.3">
      <c r="A559" t="s">
        <v>571</v>
      </c>
      <c r="B559" s="3">
        <v>45106</v>
      </c>
      <c r="C559" s="7" t="str">
        <f t="shared" si="16"/>
        <v>2023</v>
      </c>
      <c r="D559" s="7" t="str">
        <f t="shared" si="17"/>
        <v>Jun</v>
      </c>
      <c r="E559" s="6" t="s">
        <v>1771</v>
      </c>
      <c r="F559" s="5" t="s">
        <v>2405</v>
      </c>
      <c r="G559">
        <v>1</v>
      </c>
      <c r="H559">
        <v>56.2</v>
      </c>
      <c r="I559" s="6" t="s">
        <v>2818</v>
      </c>
      <c r="J559" s="6" t="s">
        <v>3065</v>
      </c>
      <c r="K559" s="6" t="s">
        <v>3074</v>
      </c>
      <c r="L559" t="s">
        <v>3632</v>
      </c>
      <c r="M559">
        <v>1</v>
      </c>
      <c r="N559" t="s">
        <v>4277</v>
      </c>
      <c r="O559" t="s">
        <v>4281</v>
      </c>
      <c r="P559">
        <v>56.2</v>
      </c>
    </row>
    <row r="560" spans="1:16" x14ac:dyDescent="0.3">
      <c r="A560" t="s">
        <v>572</v>
      </c>
      <c r="B560" s="3">
        <v>45489</v>
      </c>
      <c r="C560" s="7" t="str">
        <f t="shared" si="16"/>
        <v>2024</v>
      </c>
      <c r="D560" s="7" t="str">
        <f t="shared" si="17"/>
        <v>Jul</v>
      </c>
      <c r="E560" s="6" t="s">
        <v>1772</v>
      </c>
      <c r="F560" s="5" t="s">
        <v>2404</v>
      </c>
      <c r="G560">
        <v>4</v>
      </c>
      <c r="H560">
        <v>628.12</v>
      </c>
      <c r="I560" s="6" t="s">
        <v>2819</v>
      </c>
      <c r="J560" s="6" t="s">
        <v>3066</v>
      </c>
      <c r="K560" s="6" t="s">
        <v>3073</v>
      </c>
      <c r="L560" t="s">
        <v>3633</v>
      </c>
      <c r="M560">
        <v>6</v>
      </c>
      <c r="N560" t="s">
        <v>4277</v>
      </c>
      <c r="O560" t="s">
        <v>4278</v>
      </c>
      <c r="P560">
        <v>2512.48</v>
      </c>
    </row>
    <row r="561" spans="1:16" x14ac:dyDescent="0.3">
      <c r="A561" t="s">
        <v>573</v>
      </c>
      <c r="B561" s="3">
        <v>45397</v>
      </c>
      <c r="C561" s="7" t="str">
        <f t="shared" si="16"/>
        <v>2024</v>
      </c>
      <c r="D561" s="7" t="str">
        <f t="shared" si="17"/>
        <v>Apr</v>
      </c>
      <c r="E561" s="6" t="s">
        <v>1773</v>
      </c>
      <c r="F561" s="5" t="s">
        <v>2409</v>
      </c>
      <c r="G561">
        <v>3</v>
      </c>
      <c r="H561">
        <v>157.4</v>
      </c>
      <c r="I561" s="6" t="s">
        <v>2790</v>
      </c>
      <c r="J561" s="6" t="s">
        <v>3065</v>
      </c>
      <c r="K561" s="6" t="s">
        <v>3071</v>
      </c>
      <c r="L561" t="s">
        <v>3634</v>
      </c>
      <c r="M561">
        <v>7</v>
      </c>
      <c r="N561" t="s">
        <v>4277</v>
      </c>
      <c r="O561" t="s">
        <v>4280</v>
      </c>
      <c r="P561">
        <v>472.2</v>
      </c>
    </row>
    <row r="562" spans="1:16" x14ac:dyDescent="0.3">
      <c r="A562" t="s">
        <v>574</v>
      </c>
      <c r="B562" s="3">
        <v>44957</v>
      </c>
      <c r="C562" s="7" t="str">
        <f t="shared" si="16"/>
        <v>2023</v>
      </c>
      <c r="D562" s="7" t="str">
        <f t="shared" si="17"/>
        <v>Jan</v>
      </c>
      <c r="E562" s="6" t="s">
        <v>1774</v>
      </c>
      <c r="F562" s="5" t="s">
        <v>2403</v>
      </c>
      <c r="G562">
        <v>4</v>
      </c>
      <c r="H562">
        <v>588.85</v>
      </c>
      <c r="I562" s="6" t="s">
        <v>2820</v>
      </c>
      <c r="J562" s="6" t="s">
        <v>3068</v>
      </c>
      <c r="K562" s="6" t="s">
        <v>3074</v>
      </c>
      <c r="L562" t="s">
        <v>3635</v>
      </c>
      <c r="M562">
        <v>7</v>
      </c>
      <c r="N562" t="s">
        <v>4285</v>
      </c>
      <c r="O562" t="s">
        <v>4280</v>
      </c>
      <c r="P562">
        <v>2355.4</v>
      </c>
    </row>
    <row r="563" spans="1:16" x14ac:dyDescent="0.3">
      <c r="A563" t="s">
        <v>575</v>
      </c>
      <c r="B563" s="3">
        <v>44957</v>
      </c>
      <c r="C563" s="7" t="str">
        <f t="shared" si="16"/>
        <v>2023</v>
      </c>
      <c r="D563" s="7" t="str">
        <f t="shared" si="17"/>
        <v>Jan</v>
      </c>
      <c r="E563" s="6" t="s">
        <v>1775</v>
      </c>
      <c r="F563" s="5" t="s">
        <v>2407</v>
      </c>
      <c r="G563">
        <v>2</v>
      </c>
      <c r="H563">
        <v>494.78</v>
      </c>
      <c r="I563" s="6" t="s">
        <v>2821</v>
      </c>
      <c r="J563" s="6" t="s">
        <v>3066</v>
      </c>
      <c r="K563" s="6" t="s">
        <v>3070</v>
      </c>
      <c r="L563" t="s">
        <v>3636</v>
      </c>
      <c r="M563">
        <v>2</v>
      </c>
      <c r="N563" t="s">
        <v>4285</v>
      </c>
      <c r="O563" t="s">
        <v>4282</v>
      </c>
      <c r="P563">
        <v>989.56</v>
      </c>
    </row>
    <row r="564" spans="1:16" x14ac:dyDescent="0.3">
      <c r="A564" t="s">
        <v>576</v>
      </c>
      <c r="B564" s="3">
        <v>45205</v>
      </c>
      <c r="C564" s="7" t="str">
        <f t="shared" si="16"/>
        <v>2023</v>
      </c>
      <c r="D564" s="7" t="str">
        <f t="shared" si="17"/>
        <v>Oct</v>
      </c>
      <c r="E564" s="6" t="s">
        <v>1776</v>
      </c>
      <c r="F564" s="5" t="s">
        <v>2408</v>
      </c>
      <c r="G564">
        <v>3</v>
      </c>
      <c r="H564">
        <v>663.93</v>
      </c>
      <c r="I564" s="6" t="s">
        <v>2500</v>
      </c>
      <c r="J564" s="6" t="s">
        <v>3068</v>
      </c>
      <c r="K564" s="6" t="s">
        <v>3072</v>
      </c>
      <c r="L564" t="s">
        <v>3637</v>
      </c>
      <c r="M564">
        <v>6</v>
      </c>
      <c r="N564" t="s">
        <v>4276</v>
      </c>
      <c r="O564" t="s">
        <v>4280</v>
      </c>
      <c r="P564">
        <v>1991.79</v>
      </c>
    </row>
    <row r="565" spans="1:16" x14ac:dyDescent="0.3">
      <c r="A565" t="s">
        <v>577</v>
      </c>
      <c r="B565" s="3">
        <v>45272</v>
      </c>
      <c r="C565" s="7" t="str">
        <f t="shared" si="16"/>
        <v>2023</v>
      </c>
      <c r="D565" s="7" t="str">
        <f t="shared" si="17"/>
        <v>Dec</v>
      </c>
      <c r="E565" s="6" t="s">
        <v>1777</v>
      </c>
      <c r="F565" s="5" t="s">
        <v>2408</v>
      </c>
      <c r="G565">
        <v>1</v>
      </c>
      <c r="H565">
        <v>132.68</v>
      </c>
      <c r="I565" s="6" t="s">
        <v>2822</v>
      </c>
      <c r="J565" s="6" t="s">
        <v>3065</v>
      </c>
      <c r="K565" s="6" t="s">
        <v>3072</v>
      </c>
      <c r="L565" t="s">
        <v>3638</v>
      </c>
      <c r="M565">
        <v>1</v>
      </c>
      <c r="N565" t="s">
        <v>4275</v>
      </c>
      <c r="O565" t="s">
        <v>4279</v>
      </c>
      <c r="P565">
        <v>132.68</v>
      </c>
    </row>
    <row r="566" spans="1:16" x14ac:dyDescent="0.3">
      <c r="A566" t="s">
        <v>578</v>
      </c>
      <c r="B566" s="3">
        <v>45755</v>
      </c>
      <c r="C566" s="7" t="str">
        <f t="shared" si="16"/>
        <v>2025</v>
      </c>
      <c r="D566" s="7" t="str">
        <f t="shared" si="17"/>
        <v>Apr</v>
      </c>
      <c r="E566" s="6" t="s">
        <v>1778</v>
      </c>
      <c r="F566" s="5" t="s">
        <v>2409</v>
      </c>
      <c r="G566">
        <v>5</v>
      </c>
      <c r="H566">
        <v>364.28</v>
      </c>
      <c r="I566" s="6" t="s">
        <v>2823</v>
      </c>
      <c r="J566" s="6" t="s">
        <v>3067</v>
      </c>
      <c r="K566" s="6" t="s">
        <v>3071</v>
      </c>
      <c r="L566" t="s">
        <v>3639</v>
      </c>
      <c r="M566">
        <v>5</v>
      </c>
      <c r="N566" t="s">
        <v>4277</v>
      </c>
      <c r="O566" t="s">
        <v>4282</v>
      </c>
      <c r="P566">
        <v>1821.4</v>
      </c>
    </row>
    <row r="567" spans="1:16" x14ac:dyDescent="0.3">
      <c r="A567" t="s">
        <v>579</v>
      </c>
      <c r="B567" s="3">
        <v>45060</v>
      </c>
      <c r="C567" s="7" t="str">
        <f t="shared" si="16"/>
        <v>2023</v>
      </c>
      <c r="D567" s="7" t="str">
        <f t="shared" si="17"/>
        <v>May</v>
      </c>
      <c r="E567" s="6" t="s">
        <v>1779</v>
      </c>
      <c r="F567" s="5" t="s">
        <v>2405</v>
      </c>
      <c r="G567">
        <v>5</v>
      </c>
      <c r="H567">
        <v>307.98</v>
      </c>
      <c r="I567" s="6" t="s">
        <v>2770</v>
      </c>
      <c r="J567" s="6" t="s">
        <v>3066</v>
      </c>
      <c r="K567" s="6" t="s">
        <v>3074</v>
      </c>
      <c r="L567" t="s">
        <v>3640</v>
      </c>
      <c r="M567">
        <v>10</v>
      </c>
      <c r="N567" t="s">
        <v>4285</v>
      </c>
      <c r="O567" t="s">
        <v>4281</v>
      </c>
      <c r="P567">
        <v>1539.9</v>
      </c>
    </row>
    <row r="568" spans="1:16" x14ac:dyDescent="0.3">
      <c r="A568" t="s">
        <v>580</v>
      </c>
      <c r="B568" s="3">
        <v>45400</v>
      </c>
      <c r="C568" s="7" t="str">
        <f t="shared" si="16"/>
        <v>2024</v>
      </c>
      <c r="D568" s="7" t="str">
        <f t="shared" si="17"/>
        <v>Apr</v>
      </c>
      <c r="E568" s="6" t="s">
        <v>1780</v>
      </c>
      <c r="F568" s="5" t="s">
        <v>2404</v>
      </c>
      <c r="G568">
        <v>4</v>
      </c>
      <c r="H568">
        <v>162.71</v>
      </c>
      <c r="I568" s="6" t="s">
        <v>2824</v>
      </c>
      <c r="J568" s="6" t="s">
        <v>3069</v>
      </c>
      <c r="K568" s="6" t="s">
        <v>3071</v>
      </c>
      <c r="L568" t="s">
        <v>3641</v>
      </c>
      <c r="M568">
        <v>7</v>
      </c>
      <c r="N568" t="s">
        <v>4276</v>
      </c>
      <c r="O568" t="s">
        <v>4280</v>
      </c>
      <c r="P568">
        <v>650.84</v>
      </c>
    </row>
    <row r="569" spans="1:16" x14ac:dyDescent="0.3">
      <c r="A569" t="s">
        <v>581</v>
      </c>
      <c r="B569" s="3">
        <v>45565</v>
      </c>
      <c r="C569" s="7" t="str">
        <f t="shared" si="16"/>
        <v>2024</v>
      </c>
      <c r="D569" s="7" t="str">
        <f t="shared" si="17"/>
        <v>Sept</v>
      </c>
      <c r="E569" s="6" t="s">
        <v>1781</v>
      </c>
      <c r="F569" s="5" t="s">
        <v>2406</v>
      </c>
      <c r="G569">
        <v>5</v>
      </c>
      <c r="H569">
        <v>492.94</v>
      </c>
      <c r="I569" s="6" t="s">
        <v>2632</v>
      </c>
      <c r="J569" s="6" t="s">
        <v>3069</v>
      </c>
      <c r="K569" s="6" t="s">
        <v>3070</v>
      </c>
      <c r="L569" t="s">
        <v>3642</v>
      </c>
      <c r="M569">
        <v>10</v>
      </c>
      <c r="N569" t="s">
        <v>4276</v>
      </c>
      <c r="O569" t="s">
        <v>4280</v>
      </c>
      <c r="P569">
        <v>2464.6999999999998</v>
      </c>
    </row>
    <row r="570" spans="1:16" x14ac:dyDescent="0.3">
      <c r="A570" t="s">
        <v>582</v>
      </c>
      <c r="B570" s="3">
        <v>44995</v>
      </c>
      <c r="C570" s="7" t="str">
        <f t="shared" si="16"/>
        <v>2023</v>
      </c>
      <c r="D570" s="7" t="str">
        <f t="shared" si="17"/>
        <v>Mar</v>
      </c>
      <c r="E570" s="6" t="s">
        <v>1782</v>
      </c>
      <c r="F570" s="5" t="s">
        <v>2408</v>
      </c>
      <c r="G570">
        <v>2</v>
      </c>
      <c r="H570">
        <v>343.99</v>
      </c>
      <c r="I570" s="6" t="s">
        <v>2714</v>
      </c>
      <c r="J570" s="6" t="s">
        <v>3066</v>
      </c>
      <c r="K570" s="6" t="s">
        <v>3073</v>
      </c>
      <c r="L570" t="s">
        <v>3643</v>
      </c>
      <c r="M570">
        <v>4</v>
      </c>
      <c r="N570" t="s">
        <v>4285</v>
      </c>
      <c r="O570" t="s">
        <v>4282</v>
      </c>
      <c r="P570">
        <v>687.98</v>
      </c>
    </row>
    <row r="571" spans="1:16" x14ac:dyDescent="0.3">
      <c r="A571" t="s">
        <v>583</v>
      </c>
      <c r="B571" s="3">
        <v>45738</v>
      </c>
      <c r="C571" s="7" t="str">
        <f t="shared" si="16"/>
        <v>2025</v>
      </c>
      <c r="D571" s="7" t="str">
        <f t="shared" si="17"/>
        <v>Mar</v>
      </c>
      <c r="E571" s="6" t="s">
        <v>1783</v>
      </c>
      <c r="F571" s="5" t="s">
        <v>2409</v>
      </c>
      <c r="G571">
        <v>5</v>
      </c>
      <c r="H571">
        <v>250.68</v>
      </c>
      <c r="I571" s="6" t="s">
        <v>2774</v>
      </c>
      <c r="J571" s="6" t="s">
        <v>3069</v>
      </c>
      <c r="K571" s="6" t="s">
        <v>3070</v>
      </c>
      <c r="L571" t="s">
        <v>3644</v>
      </c>
      <c r="M571">
        <v>8</v>
      </c>
      <c r="N571" t="s">
        <v>4275</v>
      </c>
      <c r="O571" t="s">
        <v>4278</v>
      </c>
      <c r="P571">
        <v>1253.4000000000001</v>
      </c>
    </row>
    <row r="572" spans="1:16" x14ac:dyDescent="0.3">
      <c r="A572" t="s">
        <v>584</v>
      </c>
      <c r="B572" s="3">
        <v>45653</v>
      </c>
      <c r="C572" s="7" t="str">
        <f t="shared" si="16"/>
        <v>2024</v>
      </c>
      <c r="D572" s="7" t="str">
        <f t="shared" si="17"/>
        <v>Dec</v>
      </c>
      <c r="E572" s="6" t="s">
        <v>1784</v>
      </c>
      <c r="F572" s="5" t="s">
        <v>2409</v>
      </c>
      <c r="G572">
        <v>2</v>
      </c>
      <c r="H572">
        <v>362.14</v>
      </c>
      <c r="I572" s="6" t="s">
        <v>2518</v>
      </c>
      <c r="J572" s="6" t="s">
        <v>3065</v>
      </c>
      <c r="K572" s="6" t="s">
        <v>3074</v>
      </c>
      <c r="L572" t="s">
        <v>3645</v>
      </c>
      <c r="M572">
        <v>2</v>
      </c>
      <c r="N572" t="s">
        <v>4275</v>
      </c>
      <c r="O572" t="s">
        <v>4278</v>
      </c>
      <c r="P572">
        <v>724.28</v>
      </c>
    </row>
    <row r="573" spans="1:16" x14ac:dyDescent="0.3">
      <c r="A573" t="s">
        <v>585</v>
      </c>
      <c r="B573" s="3">
        <v>45619</v>
      </c>
      <c r="C573" s="7" t="str">
        <f t="shared" si="16"/>
        <v>2024</v>
      </c>
      <c r="D573" s="7" t="str">
        <f t="shared" si="17"/>
        <v>Nov</v>
      </c>
      <c r="E573" s="6" t="s">
        <v>1785</v>
      </c>
      <c r="F573" s="5" t="s">
        <v>2405</v>
      </c>
      <c r="G573">
        <v>1</v>
      </c>
      <c r="H573">
        <v>214.08</v>
      </c>
      <c r="I573" s="6" t="s">
        <v>2779</v>
      </c>
      <c r="J573" s="6" t="s">
        <v>3068</v>
      </c>
      <c r="K573" s="6" t="s">
        <v>3072</v>
      </c>
      <c r="L573" t="s">
        <v>3646</v>
      </c>
      <c r="M573">
        <v>2</v>
      </c>
      <c r="N573" t="s">
        <v>4277</v>
      </c>
      <c r="O573" t="s">
        <v>4282</v>
      </c>
      <c r="P573">
        <v>214.08</v>
      </c>
    </row>
    <row r="574" spans="1:16" x14ac:dyDescent="0.3">
      <c r="A574" t="s">
        <v>586</v>
      </c>
      <c r="B574" s="3">
        <v>45241</v>
      </c>
      <c r="C574" s="7" t="str">
        <f t="shared" si="16"/>
        <v>2023</v>
      </c>
      <c r="D574" s="7" t="str">
        <f t="shared" si="17"/>
        <v>Nov</v>
      </c>
      <c r="E574" s="6" t="s">
        <v>1786</v>
      </c>
      <c r="F574" s="5" t="s">
        <v>2407</v>
      </c>
      <c r="G574">
        <v>1</v>
      </c>
      <c r="H574">
        <v>70.319999999999993</v>
      </c>
      <c r="I574" s="6" t="s">
        <v>2722</v>
      </c>
      <c r="J574" s="6" t="s">
        <v>3069</v>
      </c>
      <c r="K574" s="6" t="s">
        <v>3072</v>
      </c>
      <c r="L574" t="s">
        <v>3647</v>
      </c>
      <c r="M574">
        <v>4</v>
      </c>
      <c r="N574" t="s">
        <v>4277</v>
      </c>
      <c r="O574" t="s">
        <v>4281</v>
      </c>
      <c r="P574">
        <v>70.319999999999993</v>
      </c>
    </row>
    <row r="575" spans="1:16" x14ac:dyDescent="0.3">
      <c r="A575" t="s">
        <v>587</v>
      </c>
      <c r="B575" s="3">
        <v>44951</v>
      </c>
      <c r="C575" s="7" t="str">
        <f t="shared" si="16"/>
        <v>2023</v>
      </c>
      <c r="D575" s="7" t="str">
        <f t="shared" si="17"/>
        <v>Jan</v>
      </c>
      <c r="E575" s="6" t="s">
        <v>1787</v>
      </c>
      <c r="F575" s="5" t="s">
        <v>2406</v>
      </c>
      <c r="G575">
        <v>5</v>
      </c>
      <c r="H575">
        <v>421.42</v>
      </c>
      <c r="I575" s="6" t="s">
        <v>2511</v>
      </c>
      <c r="J575" s="6" t="s">
        <v>3065</v>
      </c>
      <c r="K575" s="6" t="s">
        <v>3071</v>
      </c>
      <c r="L575" t="s">
        <v>3648</v>
      </c>
      <c r="M575">
        <v>7</v>
      </c>
      <c r="N575" t="s">
        <v>4285</v>
      </c>
      <c r="O575" t="s">
        <v>4278</v>
      </c>
      <c r="P575">
        <v>2107.1</v>
      </c>
    </row>
    <row r="576" spans="1:16" x14ac:dyDescent="0.3">
      <c r="A576" t="s">
        <v>588</v>
      </c>
      <c r="B576" s="3">
        <v>45315</v>
      </c>
      <c r="C576" s="7" t="str">
        <f t="shared" si="16"/>
        <v>2024</v>
      </c>
      <c r="D576" s="7" t="str">
        <f t="shared" si="17"/>
        <v>Jan</v>
      </c>
      <c r="E576" s="6" t="s">
        <v>1788</v>
      </c>
      <c r="F576" s="5" t="s">
        <v>2406</v>
      </c>
      <c r="G576">
        <v>5</v>
      </c>
      <c r="H576">
        <v>384.69</v>
      </c>
      <c r="I576" s="6" t="s">
        <v>2413</v>
      </c>
      <c r="J576" s="6" t="s">
        <v>3067</v>
      </c>
      <c r="K576" s="6" t="s">
        <v>3074</v>
      </c>
      <c r="L576" t="s">
        <v>3649</v>
      </c>
      <c r="M576">
        <v>6</v>
      </c>
      <c r="N576" t="s">
        <v>4276</v>
      </c>
      <c r="O576" t="s">
        <v>4280</v>
      </c>
      <c r="P576">
        <v>1923.45</v>
      </c>
    </row>
    <row r="577" spans="1:16" x14ac:dyDescent="0.3">
      <c r="A577" t="s">
        <v>589</v>
      </c>
      <c r="B577" s="3">
        <v>45084</v>
      </c>
      <c r="C577" s="7" t="str">
        <f t="shared" si="16"/>
        <v>2023</v>
      </c>
      <c r="D577" s="7" t="str">
        <f t="shared" si="17"/>
        <v>Jun</v>
      </c>
      <c r="E577" s="6" t="s">
        <v>1789</v>
      </c>
      <c r="F577" s="5" t="s">
        <v>2406</v>
      </c>
      <c r="G577">
        <v>5</v>
      </c>
      <c r="H577">
        <v>448.15</v>
      </c>
      <c r="I577" s="6" t="s">
        <v>2825</v>
      </c>
      <c r="J577" s="6" t="s">
        <v>3068</v>
      </c>
      <c r="K577" s="6" t="s">
        <v>3072</v>
      </c>
      <c r="L577" t="s">
        <v>3650</v>
      </c>
      <c r="M577">
        <v>7</v>
      </c>
      <c r="N577" t="s">
        <v>4275</v>
      </c>
      <c r="O577" t="s">
        <v>4282</v>
      </c>
      <c r="P577">
        <v>2240.75</v>
      </c>
    </row>
    <row r="578" spans="1:16" x14ac:dyDescent="0.3">
      <c r="A578" t="s">
        <v>590</v>
      </c>
      <c r="B578" s="3">
        <v>45441</v>
      </c>
      <c r="C578" s="7" t="str">
        <f t="shared" ref="C578:C641" si="18">TEXT(B578, "yyyy")</f>
        <v>2024</v>
      </c>
      <c r="D578" s="7" t="str">
        <f t="shared" ref="D578:D641" si="19">TEXT(B578, "MMM")</f>
        <v>May</v>
      </c>
      <c r="E578" s="6" t="s">
        <v>1790</v>
      </c>
      <c r="F578" s="5" t="s">
        <v>2408</v>
      </c>
      <c r="G578">
        <v>5</v>
      </c>
      <c r="H578">
        <v>79.08</v>
      </c>
      <c r="I578" s="6" t="s">
        <v>2710</v>
      </c>
      <c r="J578" s="6" t="s">
        <v>3069</v>
      </c>
      <c r="K578" s="6" t="s">
        <v>3074</v>
      </c>
      <c r="L578" t="s">
        <v>3651</v>
      </c>
      <c r="M578">
        <v>8</v>
      </c>
      <c r="N578" t="s">
        <v>4285</v>
      </c>
      <c r="O578" t="s">
        <v>4281</v>
      </c>
      <c r="P578">
        <v>395.4</v>
      </c>
    </row>
    <row r="579" spans="1:16" x14ac:dyDescent="0.3">
      <c r="A579" t="s">
        <v>591</v>
      </c>
      <c r="B579" s="3">
        <v>44948</v>
      </c>
      <c r="C579" s="7" t="str">
        <f t="shared" si="18"/>
        <v>2023</v>
      </c>
      <c r="D579" s="7" t="str">
        <f t="shared" si="19"/>
        <v>Jan</v>
      </c>
      <c r="E579" s="6" t="s">
        <v>1791</v>
      </c>
      <c r="F579" s="5" t="s">
        <v>2405</v>
      </c>
      <c r="G579">
        <v>4</v>
      </c>
      <c r="H579">
        <v>185.41</v>
      </c>
      <c r="I579" s="6" t="s">
        <v>2488</v>
      </c>
      <c r="J579" s="6" t="s">
        <v>3066</v>
      </c>
      <c r="K579" s="6" t="s">
        <v>3072</v>
      </c>
      <c r="L579" t="s">
        <v>3652</v>
      </c>
      <c r="M579">
        <v>9</v>
      </c>
      <c r="N579" t="s">
        <v>4277</v>
      </c>
      <c r="O579" t="s">
        <v>4282</v>
      </c>
      <c r="P579">
        <v>741.64</v>
      </c>
    </row>
    <row r="580" spans="1:16" x14ac:dyDescent="0.3">
      <c r="A580" t="s">
        <v>592</v>
      </c>
      <c r="B580" s="3">
        <v>45575</v>
      </c>
      <c r="C580" s="7" t="str">
        <f t="shared" si="18"/>
        <v>2024</v>
      </c>
      <c r="D580" s="7" t="str">
        <f t="shared" si="19"/>
        <v>Oct</v>
      </c>
      <c r="E580" s="6" t="s">
        <v>1792</v>
      </c>
      <c r="F580" s="5" t="s">
        <v>2403</v>
      </c>
      <c r="G580">
        <v>5</v>
      </c>
      <c r="H580">
        <v>566.07000000000005</v>
      </c>
      <c r="I580" s="6" t="s">
        <v>2430</v>
      </c>
      <c r="J580" s="6" t="s">
        <v>3067</v>
      </c>
      <c r="K580" s="6" t="s">
        <v>3073</v>
      </c>
      <c r="L580" t="s">
        <v>3653</v>
      </c>
      <c r="M580">
        <v>6</v>
      </c>
      <c r="N580" t="s">
        <v>4275</v>
      </c>
      <c r="O580" t="s">
        <v>4278</v>
      </c>
      <c r="P580">
        <v>2830.35</v>
      </c>
    </row>
    <row r="581" spans="1:16" x14ac:dyDescent="0.3">
      <c r="A581" t="s">
        <v>593</v>
      </c>
      <c r="B581" s="3">
        <v>45081</v>
      </c>
      <c r="C581" s="7" t="str">
        <f t="shared" si="18"/>
        <v>2023</v>
      </c>
      <c r="D581" s="7" t="str">
        <f t="shared" si="19"/>
        <v>Jun</v>
      </c>
      <c r="E581" s="6" t="s">
        <v>1793</v>
      </c>
      <c r="F581" s="5" t="s">
        <v>2405</v>
      </c>
      <c r="G581">
        <v>2</v>
      </c>
      <c r="H581">
        <v>187.88</v>
      </c>
      <c r="I581" s="6" t="s">
        <v>2679</v>
      </c>
      <c r="J581" s="6" t="s">
        <v>3066</v>
      </c>
      <c r="K581" s="6" t="s">
        <v>3070</v>
      </c>
      <c r="L581" t="s">
        <v>3654</v>
      </c>
      <c r="M581">
        <v>4</v>
      </c>
      <c r="N581" t="s">
        <v>4277</v>
      </c>
      <c r="O581" t="s">
        <v>4281</v>
      </c>
      <c r="P581">
        <v>375.76</v>
      </c>
    </row>
    <row r="582" spans="1:16" x14ac:dyDescent="0.3">
      <c r="A582" t="s">
        <v>594</v>
      </c>
      <c r="B582" s="3">
        <v>45244</v>
      </c>
      <c r="C582" s="7" t="str">
        <f t="shared" si="18"/>
        <v>2023</v>
      </c>
      <c r="D582" s="7" t="str">
        <f t="shared" si="19"/>
        <v>Nov</v>
      </c>
      <c r="E582" s="6" t="s">
        <v>1794</v>
      </c>
      <c r="F582" s="5" t="s">
        <v>2403</v>
      </c>
      <c r="G582">
        <v>2</v>
      </c>
      <c r="H582">
        <v>255.99</v>
      </c>
      <c r="I582" s="6" t="s">
        <v>2826</v>
      </c>
      <c r="J582" s="6" t="s">
        <v>3067</v>
      </c>
      <c r="K582" s="6" t="s">
        <v>3073</v>
      </c>
      <c r="L582" t="s">
        <v>3655</v>
      </c>
      <c r="M582">
        <v>4</v>
      </c>
      <c r="N582" t="s">
        <v>4275</v>
      </c>
      <c r="O582" t="s">
        <v>4278</v>
      </c>
      <c r="P582">
        <v>511.98</v>
      </c>
    </row>
    <row r="583" spans="1:16" x14ac:dyDescent="0.3">
      <c r="A583" t="s">
        <v>595</v>
      </c>
      <c r="B583" s="3">
        <v>45607</v>
      </c>
      <c r="C583" s="7" t="str">
        <f t="shared" si="18"/>
        <v>2024</v>
      </c>
      <c r="D583" s="7" t="str">
        <f t="shared" si="19"/>
        <v>Nov</v>
      </c>
      <c r="E583" s="6" t="s">
        <v>1795</v>
      </c>
      <c r="F583" s="5" t="s">
        <v>2408</v>
      </c>
      <c r="G583">
        <v>1</v>
      </c>
      <c r="H583">
        <v>627.34</v>
      </c>
      <c r="I583" s="6" t="s">
        <v>2425</v>
      </c>
      <c r="J583" s="6" t="s">
        <v>3066</v>
      </c>
      <c r="K583" s="6" t="s">
        <v>3073</v>
      </c>
      <c r="L583" t="s">
        <v>3656</v>
      </c>
      <c r="M583">
        <v>1</v>
      </c>
      <c r="N583" t="s">
        <v>4285</v>
      </c>
      <c r="O583" t="s">
        <v>4279</v>
      </c>
      <c r="P583">
        <v>627.34</v>
      </c>
    </row>
    <row r="584" spans="1:16" x14ac:dyDescent="0.3">
      <c r="A584" t="s">
        <v>596</v>
      </c>
      <c r="B584" s="3">
        <v>45341</v>
      </c>
      <c r="C584" s="7" t="str">
        <f t="shared" si="18"/>
        <v>2024</v>
      </c>
      <c r="D584" s="7" t="str">
        <f t="shared" si="19"/>
        <v>Feb</v>
      </c>
      <c r="E584" s="6" t="s">
        <v>1796</v>
      </c>
      <c r="F584" s="5" t="s">
        <v>2405</v>
      </c>
      <c r="G584">
        <v>3</v>
      </c>
      <c r="H584">
        <v>474.14</v>
      </c>
      <c r="I584" s="6" t="s">
        <v>2727</v>
      </c>
      <c r="J584" s="6" t="s">
        <v>3068</v>
      </c>
      <c r="K584" s="6" t="s">
        <v>3070</v>
      </c>
      <c r="L584" t="s">
        <v>3657</v>
      </c>
      <c r="M584">
        <v>8</v>
      </c>
      <c r="N584" t="s">
        <v>4277</v>
      </c>
      <c r="O584" t="s">
        <v>4282</v>
      </c>
      <c r="P584">
        <v>1422.42</v>
      </c>
    </row>
    <row r="585" spans="1:16" x14ac:dyDescent="0.3">
      <c r="A585" t="s">
        <v>597</v>
      </c>
      <c r="B585" s="3">
        <v>45823</v>
      </c>
      <c r="C585" s="7" t="str">
        <f t="shared" si="18"/>
        <v>2025</v>
      </c>
      <c r="D585" s="7" t="str">
        <f t="shared" si="19"/>
        <v>Jun</v>
      </c>
      <c r="E585" s="6" t="s">
        <v>1797</v>
      </c>
      <c r="F585" s="5" t="s">
        <v>2406</v>
      </c>
      <c r="G585">
        <v>3</v>
      </c>
      <c r="H585">
        <v>154.37</v>
      </c>
      <c r="I585" s="6" t="s">
        <v>2441</v>
      </c>
      <c r="J585" s="6" t="s">
        <v>3068</v>
      </c>
      <c r="K585" s="6" t="s">
        <v>3073</v>
      </c>
      <c r="L585" t="s">
        <v>3658</v>
      </c>
      <c r="M585">
        <v>4</v>
      </c>
      <c r="N585" t="s">
        <v>4285</v>
      </c>
      <c r="O585" t="s">
        <v>4278</v>
      </c>
      <c r="P585">
        <v>463.11</v>
      </c>
    </row>
    <row r="586" spans="1:16" x14ac:dyDescent="0.3">
      <c r="A586" t="s">
        <v>598</v>
      </c>
      <c r="B586" s="3">
        <v>45737</v>
      </c>
      <c r="C586" s="7" t="str">
        <f t="shared" si="18"/>
        <v>2025</v>
      </c>
      <c r="D586" s="7" t="str">
        <f t="shared" si="19"/>
        <v>Mar</v>
      </c>
      <c r="E586" s="6" t="s">
        <v>1798</v>
      </c>
      <c r="F586" s="5" t="s">
        <v>2406</v>
      </c>
      <c r="G586">
        <v>4</v>
      </c>
      <c r="H586">
        <v>145.05000000000001</v>
      </c>
      <c r="I586" s="6" t="s">
        <v>2827</v>
      </c>
      <c r="J586" s="6" t="s">
        <v>3066</v>
      </c>
      <c r="K586" s="6" t="s">
        <v>3073</v>
      </c>
      <c r="L586" t="s">
        <v>3659</v>
      </c>
      <c r="M586">
        <v>6</v>
      </c>
      <c r="N586" t="s">
        <v>4275</v>
      </c>
      <c r="O586" t="s">
        <v>4282</v>
      </c>
      <c r="P586">
        <v>580.20000000000005</v>
      </c>
    </row>
    <row r="587" spans="1:16" x14ac:dyDescent="0.3">
      <c r="A587" t="s">
        <v>599</v>
      </c>
      <c r="B587" s="3">
        <v>45158</v>
      </c>
      <c r="C587" s="7" t="str">
        <f t="shared" si="18"/>
        <v>2023</v>
      </c>
      <c r="D587" s="7" t="str">
        <f t="shared" si="19"/>
        <v>Aug</v>
      </c>
      <c r="E587" s="6" t="s">
        <v>1799</v>
      </c>
      <c r="F587" s="5" t="s">
        <v>2405</v>
      </c>
      <c r="G587">
        <v>4</v>
      </c>
      <c r="H587">
        <v>67.08</v>
      </c>
      <c r="I587" s="6" t="s">
        <v>2709</v>
      </c>
      <c r="J587" s="6" t="s">
        <v>3069</v>
      </c>
      <c r="K587" s="6" t="s">
        <v>3072</v>
      </c>
      <c r="L587" t="s">
        <v>3660</v>
      </c>
      <c r="M587">
        <v>8</v>
      </c>
      <c r="N587" t="s">
        <v>4277</v>
      </c>
      <c r="O587" t="s">
        <v>4282</v>
      </c>
      <c r="P587">
        <v>268.32</v>
      </c>
    </row>
    <row r="588" spans="1:16" x14ac:dyDescent="0.3">
      <c r="A588" t="s">
        <v>600</v>
      </c>
      <c r="B588" s="3">
        <v>45606</v>
      </c>
      <c r="C588" s="7" t="str">
        <f t="shared" si="18"/>
        <v>2024</v>
      </c>
      <c r="D588" s="7" t="str">
        <f t="shared" si="19"/>
        <v>Nov</v>
      </c>
      <c r="E588" s="6" t="s">
        <v>1800</v>
      </c>
      <c r="F588" s="5" t="s">
        <v>2403</v>
      </c>
      <c r="G588">
        <v>1</v>
      </c>
      <c r="H588">
        <v>522.08000000000004</v>
      </c>
      <c r="I588" s="6" t="s">
        <v>2828</v>
      </c>
      <c r="J588" s="6" t="s">
        <v>3068</v>
      </c>
      <c r="K588" s="6" t="s">
        <v>3072</v>
      </c>
      <c r="L588" t="s">
        <v>3661</v>
      </c>
      <c r="M588">
        <v>5</v>
      </c>
      <c r="N588" t="s">
        <v>4276</v>
      </c>
      <c r="O588" t="s">
        <v>4279</v>
      </c>
      <c r="P588">
        <v>522.08000000000004</v>
      </c>
    </row>
    <row r="589" spans="1:16" x14ac:dyDescent="0.3">
      <c r="A589" t="s">
        <v>601</v>
      </c>
      <c r="B589" s="3">
        <v>45089</v>
      </c>
      <c r="C589" s="7" t="str">
        <f t="shared" si="18"/>
        <v>2023</v>
      </c>
      <c r="D589" s="7" t="str">
        <f t="shared" si="19"/>
        <v>Jun</v>
      </c>
      <c r="E589" s="6" t="s">
        <v>1801</v>
      </c>
      <c r="F589" s="5" t="s">
        <v>2403</v>
      </c>
      <c r="G589">
        <v>5</v>
      </c>
      <c r="H589">
        <v>514.6</v>
      </c>
      <c r="I589" s="6" t="s">
        <v>2829</v>
      </c>
      <c r="J589" s="6" t="s">
        <v>3068</v>
      </c>
      <c r="K589" s="6" t="s">
        <v>3073</v>
      </c>
      <c r="L589" t="s">
        <v>3662</v>
      </c>
      <c r="M589">
        <v>10</v>
      </c>
      <c r="N589" t="s">
        <v>4276</v>
      </c>
      <c r="O589" t="s">
        <v>4278</v>
      </c>
      <c r="P589">
        <v>2573</v>
      </c>
    </row>
    <row r="590" spans="1:16" x14ac:dyDescent="0.3">
      <c r="A590" t="s">
        <v>602</v>
      </c>
      <c r="B590" s="3">
        <v>45636</v>
      </c>
      <c r="C590" s="7" t="str">
        <f t="shared" si="18"/>
        <v>2024</v>
      </c>
      <c r="D590" s="7" t="str">
        <f t="shared" si="19"/>
        <v>Dec</v>
      </c>
      <c r="E590" s="6" t="s">
        <v>1802</v>
      </c>
      <c r="F590" s="5" t="s">
        <v>2403</v>
      </c>
      <c r="G590">
        <v>4</v>
      </c>
      <c r="H590">
        <v>577.82000000000005</v>
      </c>
      <c r="I590" s="6" t="s">
        <v>2465</v>
      </c>
      <c r="J590" s="6" t="s">
        <v>3067</v>
      </c>
      <c r="K590" s="6" t="s">
        <v>3073</v>
      </c>
      <c r="L590" t="s">
        <v>3663</v>
      </c>
      <c r="M590">
        <v>9</v>
      </c>
      <c r="N590" t="s">
        <v>4285</v>
      </c>
      <c r="O590" t="s">
        <v>4282</v>
      </c>
      <c r="P590">
        <v>2311.2800000000002</v>
      </c>
    </row>
    <row r="591" spans="1:16" x14ac:dyDescent="0.3">
      <c r="A591" t="s">
        <v>603</v>
      </c>
      <c r="B591" s="3">
        <v>45698</v>
      </c>
      <c r="C591" s="7" t="str">
        <f t="shared" si="18"/>
        <v>2025</v>
      </c>
      <c r="D591" s="7" t="str">
        <f t="shared" si="19"/>
        <v>Feb</v>
      </c>
      <c r="E591" s="6" t="s">
        <v>1803</v>
      </c>
      <c r="F591" s="5" t="s">
        <v>2408</v>
      </c>
      <c r="G591">
        <v>2</v>
      </c>
      <c r="H591">
        <v>500.8</v>
      </c>
      <c r="I591" s="6" t="s">
        <v>2830</v>
      </c>
      <c r="J591" s="6" t="s">
        <v>3069</v>
      </c>
      <c r="K591" s="6" t="s">
        <v>3073</v>
      </c>
      <c r="L591" t="s">
        <v>3664</v>
      </c>
      <c r="M591">
        <v>3</v>
      </c>
      <c r="N591" t="s">
        <v>4276</v>
      </c>
      <c r="O591" t="s">
        <v>4279</v>
      </c>
      <c r="P591">
        <v>1001.6</v>
      </c>
    </row>
    <row r="592" spans="1:16" x14ac:dyDescent="0.3">
      <c r="A592" t="s">
        <v>604</v>
      </c>
      <c r="B592" s="3">
        <v>45179</v>
      </c>
      <c r="C592" s="7" t="str">
        <f t="shared" si="18"/>
        <v>2023</v>
      </c>
      <c r="D592" s="7" t="str">
        <f t="shared" si="19"/>
        <v>Sept</v>
      </c>
      <c r="E592" s="6" t="s">
        <v>1804</v>
      </c>
      <c r="F592" s="5" t="s">
        <v>2407</v>
      </c>
      <c r="G592">
        <v>2</v>
      </c>
      <c r="H592">
        <v>461.13</v>
      </c>
      <c r="I592" s="6" t="s">
        <v>2831</v>
      </c>
      <c r="J592" s="6" t="s">
        <v>3068</v>
      </c>
      <c r="K592" s="6" t="s">
        <v>3072</v>
      </c>
      <c r="L592" t="s">
        <v>3665</v>
      </c>
      <c r="M592">
        <v>4</v>
      </c>
      <c r="N592" t="s">
        <v>4285</v>
      </c>
      <c r="O592" t="s">
        <v>4280</v>
      </c>
      <c r="P592">
        <v>922.26</v>
      </c>
    </row>
    <row r="593" spans="1:16" x14ac:dyDescent="0.3">
      <c r="A593" t="s">
        <v>605</v>
      </c>
      <c r="B593" s="3">
        <v>45614</v>
      </c>
      <c r="C593" s="7" t="str">
        <f t="shared" si="18"/>
        <v>2024</v>
      </c>
      <c r="D593" s="7" t="str">
        <f t="shared" si="19"/>
        <v>Nov</v>
      </c>
      <c r="E593" s="6" t="s">
        <v>1805</v>
      </c>
      <c r="F593" s="5" t="s">
        <v>2408</v>
      </c>
      <c r="G593">
        <v>1</v>
      </c>
      <c r="H593">
        <v>605.28</v>
      </c>
      <c r="I593" s="6" t="s">
        <v>2832</v>
      </c>
      <c r="J593" s="6" t="s">
        <v>3068</v>
      </c>
      <c r="K593" s="6" t="s">
        <v>3070</v>
      </c>
      <c r="L593" t="s">
        <v>3666</v>
      </c>
      <c r="M593">
        <v>3</v>
      </c>
      <c r="N593" t="s">
        <v>4276</v>
      </c>
      <c r="O593" t="s">
        <v>4279</v>
      </c>
      <c r="P593">
        <v>605.28</v>
      </c>
    </row>
    <row r="594" spans="1:16" x14ac:dyDescent="0.3">
      <c r="A594" t="s">
        <v>606</v>
      </c>
      <c r="B594" s="3">
        <v>45405</v>
      </c>
      <c r="C594" s="7" t="str">
        <f t="shared" si="18"/>
        <v>2024</v>
      </c>
      <c r="D594" s="7" t="str">
        <f t="shared" si="19"/>
        <v>Apr</v>
      </c>
      <c r="E594" s="6" t="s">
        <v>1806</v>
      </c>
      <c r="F594" s="5" t="s">
        <v>2404</v>
      </c>
      <c r="G594">
        <v>3</v>
      </c>
      <c r="H594">
        <v>204.27</v>
      </c>
      <c r="I594" s="6" t="s">
        <v>2803</v>
      </c>
      <c r="J594" s="6" t="s">
        <v>3066</v>
      </c>
      <c r="K594" s="6" t="s">
        <v>3072</v>
      </c>
      <c r="L594" t="s">
        <v>3667</v>
      </c>
      <c r="M594">
        <v>4</v>
      </c>
      <c r="N594" t="s">
        <v>4285</v>
      </c>
      <c r="O594" t="s">
        <v>4282</v>
      </c>
      <c r="P594">
        <v>612.81000000000006</v>
      </c>
    </row>
    <row r="595" spans="1:16" x14ac:dyDescent="0.3">
      <c r="A595" t="s">
        <v>607</v>
      </c>
      <c r="B595" s="3">
        <v>45140</v>
      </c>
      <c r="C595" s="7" t="str">
        <f t="shared" si="18"/>
        <v>2023</v>
      </c>
      <c r="D595" s="7" t="str">
        <f t="shared" si="19"/>
        <v>Aug</v>
      </c>
      <c r="E595" s="6" t="s">
        <v>1807</v>
      </c>
      <c r="F595" s="5" t="s">
        <v>2403</v>
      </c>
      <c r="G595">
        <v>1</v>
      </c>
      <c r="H595">
        <v>489.8</v>
      </c>
      <c r="I595" s="6" t="s">
        <v>2535</v>
      </c>
      <c r="J595" s="6" t="s">
        <v>3068</v>
      </c>
      <c r="K595" s="6" t="s">
        <v>3070</v>
      </c>
      <c r="L595" t="s">
        <v>3668</v>
      </c>
      <c r="M595">
        <v>4</v>
      </c>
      <c r="N595" t="s">
        <v>4276</v>
      </c>
      <c r="O595" t="s">
        <v>4281</v>
      </c>
      <c r="P595">
        <v>489.8</v>
      </c>
    </row>
    <row r="596" spans="1:16" x14ac:dyDescent="0.3">
      <c r="A596" t="s">
        <v>608</v>
      </c>
      <c r="B596" s="3">
        <v>45343</v>
      </c>
      <c r="C596" s="7" t="str">
        <f t="shared" si="18"/>
        <v>2024</v>
      </c>
      <c r="D596" s="7" t="str">
        <f t="shared" si="19"/>
        <v>Feb</v>
      </c>
      <c r="E596" s="6" t="s">
        <v>1808</v>
      </c>
      <c r="F596" s="5" t="s">
        <v>2404</v>
      </c>
      <c r="G596">
        <v>5</v>
      </c>
      <c r="H596">
        <v>72.64</v>
      </c>
      <c r="I596" s="6" t="s">
        <v>2538</v>
      </c>
      <c r="J596" s="6" t="s">
        <v>3067</v>
      </c>
      <c r="K596" s="6" t="s">
        <v>3071</v>
      </c>
      <c r="L596" t="s">
        <v>3669</v>
      </c>
      <c r="M596">
        <v>7</v>
      </c>
      <c r="N596" t="s">
        <v>4285</v>
      </c>
      <c r="O596" t="s">
        <v>4280</v>
      </c>
      <c r="P596">
        <v>363.2</v>
      </c>
    </row>
    <row r="597" spans="1:16" x14ac:dyDescent="0.3">
      <c r="A597" t="s">
        <v>609</v>
      </c>
      <c r="B597" s="3">
        <v>45667</v>
      </c>
      <c r="C597" s="7" t="str">
        <f t="shared" si="18"/>
        <v>2025</v>
      </c>
      <c r="D597" s="7" t="str">
        <f t="shared" si="19"/>
        <v>Jan</v>
      </c>
      <c r="E597" s="6" t="s">
        <v>1809</v>
      </c>
      <c r="F597" s="5" t="s">
        <v>2407</v>
      </c>
      <c r="G597">
        <v>2</v>
      </c>
      <c r="H597">
        <v>385.16</v>
      </c>
      <c r="I597" s="6" t="s">
        <v>2833</v>
      </c>
      <c r="J597" s="6" t="s">
        <v>3066</v>
      </c>
      <c r="K597" s="6" t="s">
        <v>3074</v>
      </c>
      <c r="L597" t="s">
        <v>3670</v>
      </c>
      <c r="M597">
        <v>7</v>
      </c>
      <c r="N597" t="s">
        <v>4275</v>
      </c>
      <c r="O597" t="s">
        <v>4280</v>
      </c>
      <c r="P597">
        <v>770.32</v>
      </c>
    </row>
    <row r="598" spans="1:16" x14ac:dyDescent="0.3">
      <c r="A598" t="s">
        <v>610</v>
      </c>
      <c r="B598" s="3">
        <v>45089</v>
      </c>
      <c r="C598" s="7" t="str">
        <f t="shared" si="18"/>
        <v>2023</v>
      </c>
      <c r="D598" s="7" t="str">
        <f t="shared" si="19"/>
        <v>Jun</v>
      </c>
      <c r="E598" s="6" t="s">
        <v>1810</v>
      </c>
      <c r="F598" s="5" t="s">
        <v>2409</v>
      </c>
      <c r="G598">
        <v>3</v>
      </c>
      <c r="H598">
        <v>606.41</v>
      </c>
      <c r="I598" s="6" t="s">
        <v>2834</v>
      </c>
      <c r="J598" s="6" t="s">
        <v>3065</v>
      </c>
      <c r="K598" s="6" t="s">
        <v>3072</v>
      </c>
      <c r="L598" t="s">
        <v>3671</v>
      </c>
      <c r="M598">
        <v>7</v>
      </c>
      <c r="N598" t="s">
        <v>4276</v>
      </c>
      <c r="O598" t="s">
        <v>4281</v>
      </c>
      <c r="P598">
        <v>1819.23</v>
      </c>
    </row>
    <row r="599" spans="1:16" x14ac:dyDescent="0.3">
      <c r="A599" t="s">
        <v>611</v>
      </c>
      <c r="B599" s="3">
        <v>45621</v>
      </c>
      <c r="C599" s="7" t="str">
        <f t="shared" si="18"/>
        <v>2024</v>
      </c>
      <c r="D599" s="7" t="str">
        <f t="shared" si="19"/>
        <v>Nov</v>
      </c>
      <c r="E599" s="6" t="s">
        <v>1811</v>
      </c>
      <c r="F599" s="5" t="s">
        <v>2409</v>
      </c>
      <c r="G599">
        <v>2</v>
      </c>
      <c r="H599">
        <v>211.82</v>
      </c>
      <c r="I599" s="6" t="s">
        <v>2835</v>
      </c>
      <c r="J599" s="6" t="s">
        <v>3068</v>
      </c>
      <c r="K599" s="6" t="s">
        <v>3071</v>
      </c>
      <c r="L599" t="s">
        <v>3672</v>
      </c>
      <c r="M599">
        <v>4</v>
      </c>
      <c r="N599" t="s">
        <v>4277</v>
      </c>
      <c r="O599" t="s">
        <v>4280</v>
      </c>
      <c r="P599">
        <v>423.64</v>
      </c>
    </row>
    <row r="600" spans="1:16" x14ac:dyDescent="0.3">
      <c r="A600" t="s">
        <v>612</v>
      </c>
      <c r="B600" s="3">
        <v>45408</v>
      </c>
      <c r="C600" s="7" t="str">
        <f t="shared" si="18"/>
        <v>2024</v>
      </c>
      <c r="D600" s="7" t="str">
        <f t="shared" si="19"/>
        <v>Apr</v>
      </c>
      <c r="E600" s="6" t="s">
        <v>1812</v>
      </c>
      <c r="F600" s="5" t="s">
        <v>2409</v>
      </c>
      <c r="G600">
        <v>5</v>
      </c>
      <c r="H600">
        <v>495.35</v>
      </c>
      <c r="I600" s="6" t="s">
        <v>2693</v>
      </c>
      <c r="J600" s="6" t="s">
        <v>3067</v>
      </c>
      <c r="K600" s="6" t="s">
        <v>3074</v>
      </c>
      <c r="L600" t="s">
        <v>3673</v>
      </c>
      <c r="M600">
        <v>5</v>
      </c>
      <c r="N600" t="s">
        <v>4285</v>
      </c>
      <c r="O600" t="s">
        <v>4281</v>
      </c>
      <c r="P600">
        <v>2476.75</v>
      </c>
    </row>
    <row r="601" spans="1:16" x14ac:dyDescent="0.3">
      <c r="A601" t="s">
        <v>613</v>
      </c>
      <c r="B601" s="3">
        <v>45107</v>
      </c>
      <c r="C601" s="7" t="str">
        <f t="shared" si="18"/>
        <v>2023</v>
      </c>
      <c r="D601" s="7" t="str">
        <f t="shared" si="19"/>
        <v>Jun</v>
      </c>
      <c r="E601" s="6" t="s">
        <v>1813</v>
      </c>
      <c r="F601" s="5" t="s">
        <v>2406</v>
      </c>
      <c r="G601">
        <v>3</v>
      </c>
      <c r="H601">
        <v>556.99</v>
      </c>
      <c r="I601" s="6" t="s">
        <v>2739</v>
      </c>
      <c r="J601" s="6" t="s">
        <v>3066</v>
      </c>
      <c r="K601" s="6" t="s">
        <v>3071</v>
      </c>
      <c r="L601" t="s">
        <v>3674</v>
      </c>
      <c r="M601">
        <v>4</v>
      </c>
      <c r="N601" t="s">
        <v>4276</v>
      </c>
      <c r="O601" t="s">
        <v>4281</v>
      </c>
      <c r="P601">
        <v>1670.97</v>
      </c>
    </row>
    <row r="602" spans="1:16" x14ac:dyDescent="0.3">
      <c r="A602" t="s">
        <v>614</v>
      </c>
      <c r="B602" s="3">
        <v>45072</v>
      </c>
      <c r="C602" s="7" t="str">
        <f t="shared" si="18"/>
        <v>2023</v>
      </c>
      <c r="D602" s="7" t="str">
        <f t="shared" si="19"/>
        <v>May</v>
      </c>
      <c r="E602" s="6" t="s">
        <v>1814</v>
      </c>
      <c r="F602" s="5" t="s">
        <v>2407</v>
      </c>
      <c r="G602">
        <v>1</v>
      </c>
      <c r="H602">
        <v>72.31</v>
      </c>
      <c r="I602" s="6" t="s">
        <v>2633</v>
      </c>
      <c r="J602" s="6" t="s">
        <v>3068</v>
      </c>
      <c r="K602" s="6" t="s">
        <v>3071</v>
      </c>
      <c r="L602" t="s">
        <v>3675</v>
      </c>
      <c r="M602">
        <v>1</v>
      </c>
      <c r="N602" t="s">
        <v>4276</v>
      </c>
      <c r="O602" t="s">
        <v>4281</v>
      </c>
      <c r="P602">
        <v>72.31</v>
      </c>
    </row>
    <row r="603" spans="1:16" x14ac:dyDescent="0.3">
      <c r="A603" t="s">
        <v>615</v>
      </c>
      <c r="B603" s="3">
        <v>45201</v>
      </c>
      <c r="C603" s="7" t="str">
        <f t="shared" si="18"/>
        <v>2023</v>
      </c>
      <c r="D603" s="7" t="str">
        <f t="shared" si="19"/>
        <v>Oct</v>
      </c>
      <c r="E603" s="6" t="s">
        <v>1815</v>
      </c>
      <c r="F603" s="5" t="s">
        <v>2403</v>
      </c>
      <c r="G603">
        <v>5</v>
      </c>
      <c r="H603">
        <v>24.82</v>
      </c>
      <c r="I603" s="6" t="s">
        <v>2836</v>
      </c>
      <c r="J603" s="6" t="s">
        <v>3067</v>
      </c>
      <c r="K603" s="6" t="s">
        <v>3070</v>
      </c>
      <c r="L603" t="s">
        <v>3676</v>
      </c>
      <c r="M603">
        <v>10</v>
      </c>
      <c r="N603" t="s">
        <v>4285</v>
      </c>
      <c r="O603" t="s">
        <v>4279</v>
      </c>
      <c r="P603">
        <v>124.1</v>
      </c>
    </row>
    <row r="604" spans="1:16" x14ac:dyDescent="0.3">
      <c r="A604" t="s">
        <v>616</v>
      </c>
      <c r="B604" s="3">
        <v>45356</v>
      </c>
      <c r="C604" s="7" t="str">
        <f t="shared" si="18"/>
        <v>2024</v>
      </c>
      <c r="D604" s="7" t="str">
        <f t="shared" si="19"/>
        <v>Mar</v>
      </c>
      <c r="E604" s="6" t="s">
        <v>1696</v>
      </c>
      <c r="F604" s="5" t="s">
        <v>2405</v>
      </c>
      <c r="G604">
        <v>4</v>
      </c>
      <c r="H604">
        <v>26.04</v>
      </c>
      <c r="I604" s="6" t="s">
        <v>2782</v>
      </c>
      <c r="J604" s="6" t="s">
        <v>3066</v>
      </c>
      <c r="K604" s="6" t="s">
        <v>3074</v>
      </c>
      <c r="L604" t="s">
        <v>3677</v>
      </c>
      <c r="M604">
        <v>5</v>
      </c>
      <c r="N604" t="s">
        <v>4275</v>
      </c>
      <c r="O604" t="s">
        <v>4278</v>
      </c>
      <c r="P604">
        <v>104.16</v>
      </c>
    </row>
    <row r="605" spans="1:16" x14ac:dyDescent="0.3">
      <c r="A605" t="s">
        <v>617</v>
      </c>
      <c r="B605" s="3">
        <v>45569</v>
      </c>
      <c r="C605" s="7" t="str">
        <f t="shared" si="18"/>
        <v>2024</v>
      </c>
      <c r="D605" s="7" t="str">
        <f t="shared" si="19"/>
        <v>Oct</v>
      </c>
      <c r="E605" s="6" t="s">
        <v>1816</v>
      </c>
      <c r="F605" s="5" t="s">
        <v>2405</v>
      </c>
      <c r="G605">
        <v>1</v>
      </c>
      <c r="H605">
        <v>657.07</v>
      </c>
      <c r="I605" s="6" t="s">
        <v>2837</v>
      </c>
      <c r="J605" s="6" t="s">
        <v>3069</v>
      </c>
      <c r="K605" s="6" t="s">
        <v>3074</v>
      </c>
      <c r="L605" t="s">
        <v>3678</v>
      </c>
      <c r="M605">
        <v>4</v>
      </c>
      <c r="N605" t="s">
        <v>4275</v>
      </c>
      <c r="O605" t="s">
        <v>4282</v>
      </c>
      <c r="P605">
        <v>657.07</v>
      </c>
    </row>
    <row r="606" spans="1:16" x14ac:dyDescent="0.3">
      <c r="A606" t="s">
        <v>618</v>
      </c>
      <c r="B606" s="3">
        <v>45830</v>
      </c>
      <c r="C606" s="7" t="str">
        <f t="shared" si="18"/>
        <v>2025</v>
      </c>
      <c r="D606" s="7" t="str">
        <f t="shared" si="19"/>
        <v>Jun</v>
      </c>
      <c r="E606" s="6" t="s">
        <v>1817</v>
      </c>
      <c r="F606" s="5" t="s">
        <v>2406</v>
      </c>
      <c r="G606">
        <v>3</v>
      </c>
      <c r="H606">
        <v>32.619999999999997</v>
      </c>
      <c r="I606" s="6" t="s">
        <v>2661</v>
      </c>
      <c r="J606" s="6" t="s">
        <v>3065</v>
      </c>
      <c r="K606" s="6" t="s">
        <v>3073</v>
      </c>
      <c r="L606" t="s">
        <v>3679</v>
      </c>
      <c r="M606">
        <v>6</v>
      </c>
      <c r="N606" t="s">
        <v>4285</v>
      </c>
      <c r="O606" t="s">
        <v>4281</v>
      </c>
      <c r="P606">
        <v>97.859999999999985</v>
      </c>
    </row>
    <row r="607" spans="1:16" x14ac:dyDescent="0.3">
      <c r="A607" t="s">
        <v>619</v>
      </c>
      <c r="B607" s="3">
        <v>45422</v>
      </c>
      <c r="C607" s="7" t="str">
        <f t="shared" si="18"/>
        <v>2024</v>
      </c>
      <c r="D607" s="7" t="str">
        <f t="shared" si="19"/>
        <v>May</v>
      </c>
      <c r="E607" s="6" t="s">
        <v>1818</v>
      </c>
      <c r="F607" s="5" t="s">
        <v>2403</v>
      </c>
      <c r="G607">
        <v>2</v>
      </c>
      <c r="H607">
        <v>228.91</v>
      </c>
      <c r="I607" s="6" t="s">
        <v>2838</v>
      </c>
      <c r="J607" s="6" t="s">
        <v>3065</v>
      </c>
      <c r="K607" s="6" t="s">
        <v>3070</v>
      </c>
      <c r="L607" t="s">
        <v>3680</v>
      </c>
      <c r="M607">
        <v>4</v>
      </c>
      <c r="N607" t="s">
        <v>4275</v>
      </c>
      <c r="O607" t="s">
        <v>4279</v>
      </c>
      <c r="P607">
        <v>457.82</v>
      </c>
    </row>
    <row r="608" spans="1:16" x14ac:dyDescent="0.3">
      <c r="A608" t="s">
        <v>620</v>
      </c>
      <c r="B608" s="3">
        <v>45602</v>
      </c>
      <c r="C608" s="7" t="str">
        <f t="shared" si="18"/>
        <v>2024</v>
      </c>
      <c r="D608" s="7" t="str">
        <f t="shared" si="19"/>
        <v>Nov</v>
      </c>
      <c r="E608" s="6" t="s">
        <v>1819</v>
      </c>
      <c r="F608" s="5" t="s">
        <v>2408</v>
      </c>
      <c r="G608">
        <v>3</v>
      </c>
      <c r="H608">
        <v>274.75</v>
      </c>
      <c r="I608" s="6" t="s">
        <v>2614</v>
      </c>
      <c r="J608" s="6" t="s">
        <v>3069</v>
      </c>
      <c r="K608" s="6" t="s">
        <v>3071</v>
      </c>
      <c r="L608" t="s">
        <v>3681</v>
      </c>
      <c r="M608">
        <v>3</v>
      </c>
      <c r="N608" t="s">
        <v>4275</v>
      </c>
      <c r="O608" t="s">
        <v>4282</v>
      </c>
      <c r="P608">
        <v>824.25</v>
      </c>
    </row>
    <row r="609" spans="1:16" x14ac:dyDescent="0.3">
      <c r="A609" t="s">
        <v>621</v>
      </c>
      <c r="B609" s="3">
        <v>45808</v>
      </c>
      <c r="C609" s="7" t="str">
        <f t="shared" si="18"/>
        <v>2025</v>
      </c>
      <c r="D609" s="7" t="str">
        <f t="shared" si="19"/>
        <v>May</v>
      </c>
      <c r="E609" s="6" t="s">
        <v>1820</v>
      </c>
      <c r="F609" s="5" t="s">
        <v>2407</v>
      </c>
      <c r="G609">
        <v>4</v>
      </c>
      <c r="H609">
        <v>634.04999999999995</v>
      </c>
      <c r="I609" s="6" t="s">
        <v>2839</v>
      </c>
      <c r="J609" s="6" t="s">
        <v>3069</v>
      </c>
      <c r="K609" s="6" t="s">
        <v>3070</v>
      </c>
      <c r="L609" t="s">
        <v>3682</v>
      </c>
      <c r="M609">
        <v>6</v>
      </c>
      <c r="N609" t="s">
        <v>4275</v>
      </c>
      <c r="O609" t="s">
        <v>4282</v>
      </c>
      <c r="P609">
        <v>2536.1999999999998</v>
      </c>
    </row>
    <row r="610" spans="1:16" x14ac:dyDescent="0.3">
      <c r="A610" t="s">
        <v>622</v>
      </c>
      <c r="B610" s="3">
        <v>45497</v>
      </c>
      <c r="C610" s="7" t="str">
        <f t="shared" si="18"/>
        <v>2024</v>
      </c>
      <c r="D610" s="7" t="str">
        <f t="shared" si="19"/>
        <v>Jul</v>
      </c>
      <c r="E610" s="6" t="s">
        <v>1821</v>
      </c>
      <c r="F610" s="5" t="s">
        <v>2408</v>
      </c>
      <c r="G610">
        <v>5</v>
      </c>
      <c r="H610">
        <v>543.16</v>
      </c>
      <c r="I610" s="6" t="s">
        <v>2840</v>
      </c>
      <c r="J610" s="6" t="s">
        <v>3066</v>
      </c>
      <c r="K610" s="6" t="s">
        <v>3071</v>
      </c>
      <c r="L610" t="s">
        <v>3683</v>
      </c>
      <c r="M610">
        <v>6</v>
      </c>
      <c r="N610" t="s">
        <v>4275</v>
      </c>
      <c r="O610" t="s">
        <v>4278</v>
      </c>
      <c r="P610">
        <v>2715.8</v>
      </c>
    </row>
    <row r="611" spans="1:16" x14ac:dyDescent="0.3">
      <c r="A611" t="s">
        <v>623</v>
      </c>
      <c r="B611" s="3">
        <v>45684</v>
      </c>
      <c r="C611" s="7" t="str">
        <f t="shared" si="18"/>
        <v>2025</v>
      </c>
      <c r="D611" s="7" t="str">
        <f t="shared" si="19"/>
        <v>Jan</v>
      </c>
      <c r="E611" s="6" t="s">
        <v>1822</v>
      </c>
      <c r="F611" s="5" t="s">
        <v>2406</v>
      </c>
      <c r="G611">
        <v>3</v>
      </c>
      <c r="H611">
        <v>449.13</v>
      </c>
      <c r="I611" s="6" t="s">
        <v>2841</v>
      </c>
      <c r="J611" s="6" t="s">
        <v>3069</v>
      </c>
      <c r="K611" s="6" t="s">
        <v>3072</v>
      </c>
      <c r="L611" t="s">
        <v>3684</v>
      </c>
      <c r="M611">
        <v>5</v>
      </c>
      <c r="N611" t="s">
        <v>4277</v>
      </c>
      <c r="O611" t="s">
        <v>4279</v>
      </c>
      <c r="P611">
        <v>1347.39</v>
      </c>
    </row>
    <row r="612" spans="1:16" x14ac:dyDescent="0.3">
      <c r="A612" t="s">
        <v>624</v>
      </c>
      <c r="B612" s="3">
        <v>45459</v>
      </c>
      <c r="C612" s="7" t="str">
        <f t="shared" si="18"/>
        <v>2024</v>
      </c>
      <c r="D612" s="7" t="str">
        <f t="shared" si="19"/>
        <v>Jun</v>
      </c>
      <c r="E612" s="6" t="s">
        <v>1823</v>
      </c>
      <c r="F612" s="5" t="s">
        <v>2409</v>
      </c>
      <c r="G612">
        <v>5</v>
      </c>
      <c r="H612">
        <v>389.62</v>
      </c>
      <c r="I612" s="6" t="s">
        <v>2460</v>
      </c>
      <c r="J612" s="6" t="s">
        <v>3069</v>
      </c>
      <c r="K612" s="6" t="s">
        <v>3072</v>
      </c>
      <c r="L612" t="s">
        <v>3685</v>
      </c>
      <c r="M612">
        <v>7</v>
      </c>
      <c r="N612" t="s">
        <v>4276</v>
      </c>
      <c r="O612" t="s">
        <v>4281</v>
      </c>
      <c r="P612">
        <v>1948.1</v>
      </c>
    </row>
    <row r="613" spans="1:16" x14ac:dyDescent="0.3">
      <c r="A613" t="s">
        <v>625</v>
      </c>
      <c r="B613" s="3">
        <v>45037</v>
      </c>
      <c r="C613" s="7" t="str">
        <f t="shared" si="18"/>
        <v>2023</v>
      </c>
      <c r="D613" s="7" t="str">
        <f t="shared" si="19"/>
        <v>Apr</v>
      </c>
      <c r="E613" s="6" t="s">
        <v>1824</v>
      </c>
      <c r="F613" s="5" t="s">
        <v>2409</v>
      </c>
      <c r="G613">
        <v>1</v>
      </c>
      <c r="H613">
        <v>305.17</v>
      </c>
      <c r="I613" s="6" t="s">
        <v>2835</v>
      </c>
      <c r="J613" s="6" t="s">
        <v>3068</v>
      </c>
      <c r="K613" s="6" t="s">
        <v>3072</v>
      </c>
      <c r="L613" t="s">
        <v>3686</v>
      </c>
      <c r="M613">
        <v>3</v>
      </c>
      <c r="N613" t="s">
        <v>4277</v>
      </c>
      <c r="O613" t="s">
        <v>4279</v>
      </c>
      <c r="P613">
        <v>305.17</v>
      </c>
    </row>
    <row r="614" spans="1:16" x14ac:dyDescent="0.3">
      <c r="A614" t="s">
        <v>626</v>
      </c>
      <c r="B614" s="3">
        <v>45079</v>
      </c>
      <c r="C614" s="7" t="str">
        <f t="shared" si="18"/>
        <v>2023</v>
      </c>
      <c r="D614" s="7" t="str">
        <f t="shared" si="19"/>
        <v>Jun</v>
      </c>
      <c r="E614" s="6" t="s">
        <v>1825</v>
      </c>
      <c r="F614" s="5" t="s">
        <v>2406</v>
      </c>
      <c r="G614">
        <v>3</v>
      </c>
      <c r="H614">
        <v>445.12</v>
      </c>
      <c r="I614" s="6" t="s">
        <v>2678</v>
      </c>
      <c r="J614" s="6" t="s">
        <v>3068</v>
      </c>
      <c r="K614" s="6" t="s">
        <v>3071</v>
      </c>
      <c r="L614" t="s">
        <v>3687</v>
      </c>
      <c r="M614">
        <v>8</v>
      </c>
      <c r="N614" t="s">
        <v>4285</v>
      </c>
      <c r="O614" t="s">
        <v>4282</v>
      </c>
      <c r="P614">
        <v>1335.36</v>
      </c>
    </row>
    <row r="615" spans="1:16" x14ac:dyDescent="0.3">
      <c r="A615" t="s">
        <v>627</v>
      </c>
      <c r="B615" s="3">
        <v>45645</v>
      </c>
      <c r="C615" s="7" t="str">
        <f t="shared" si="18"/>
        <v>2024</v>
      </c>
      <c r="D615" s="7" t="str">
        <f t="shared" si="19"/>
        <v>Dec</v>
      </c>
      <c r="E615" s="6" t="s">
        <v>1826</v>
      </c>
      <c r="F615" s="5" t="s">
        <v>2408</v>
      </c>
      <c r="G615">
        <v>2</v>
      </c>
      <c r="H615">
        <v>230.36</v>
      </c>
      <c r="I615" s="6" t="s">
        <v>2842</v>
      </c>
      <c r="J615" s="6" t="s">
        <v>3066</v>
      </c>
      <c r="K615" s="6" t="s">
        <v>3072</v>
      </c>
      <c r="L615" t="s">
        <v>3688</v>
      </c>
      <c r="M615">
        <v>4</v>
      </c>
      <c r="N615" t="s">
        <v>4277</v>
      </c>
      <c r="O615" t="s">
        <v>4280</v>
      </c>
      <c r="P615">
        <v>460.72</v>
      </c>
    </row>
    <row r="616" spans="1:16" x14ac:dyDescent="0.3">
      <c r="A616" t="s">
        <v>628</v>
      </c>
      <c r="B616" s="3">
        <v>45359</v>
      </c>
      <c r="C616" s="7" t="str">
        <f t="shared" si="18"/>
        <v>2024</v>
      </c>
      <c r="D616" s="7" t="str">
        <f t="shared" si="19"/>
        <v>Mar</v>
      </c>
      <c r="E616" s="6" t="s">
        <v>1827</v>
      </c>
      <c r="F616" s="5" t="s">
        <v>2404</v>
      </c>
      <c r="G616">
        <v>1</v>
      </c>
      <c r="H616">
        <v>96.81</v>
      </c>
      <c r="I616" s="6" t="s">
        <v>2521</v>
      </c>
      <c r="J616" s="6" t="s">
        <v>3068</v>
      </c>
      <c r="K616" s="6" t="s">
        <v>3071</v>
      </c>
      <c r="L616" t="s">
        <v>3689</v>
      </c>
      <c r="M616">
        <v>3</v>
      </c>
      <c r="N616" t="s">
        <v>4285</v>
      </c>
      <c r="O616" t="s">
        <v>4279</v>
      </c>
      <c r="P616">
        <v>96.81</v>
      </c>
    </row>
    <row r="617" spans="1:16" x14ac:dyDescent="0.3">
      <c r="A617" t="s">
        <v>629</v>
      </c>
      <c r="B617" s="3">
        <v>45723</v>
      </c>
      <c r="C617" s="7" t="str">
        <f t="shared" si="18"/>
        <v>2025</v>
      </c>
      <c r="D617" s="7" t="str">
        <f t="shared" si="19"/>
        <v>Mar</v>
      </c>
      <c r="E617" s="6" t="s">
        <v>1828</v>
      </c>
      <c r="F617" s="5" t="s">
        <v>2403</v>
      </c>
      <c r="G617">
        <v>5</v>
      </c>
      <c r="H617">
        <v>460.14</v>
      </c>
      <c r="I617" s="6" t="s">
        <v>2661</v>
      </c>
      <c r="J617" s="6" t="s">
        <v>3067</v>
      </c>
      <c r="K617" s="6" t="s">
        <v>3072</v>
      </c>
      <c r="L617" t="s">
        <v>3690</v>
      </c>
      <c r="M617">
        <v>10</v>
      </c>
      <c r="N617" t="s">
        <v>4277</v>
      </c>
      <c r="O617" t="s">
        <v>4281</v>
      </c>
      <c r="P617">
        <v>2300.6999999999998</v>
      </c>
    </row>
    <row r="618" spans="1:16" x14ac:dyDescent="0.3">
      <c r="A618" t="s">
        <v>630</v>
      </c>
      <c r="B618" s="3">
        <v>45582</v>
      </c>
      <c r="C618" s="7" t="str">
        <f t="shared" si="18"/>
        <v>2024</v>
      </c>
      <c r="D618" s="7" t="str">
        <f t="shared" si="19"/>
        <v>Oct</v>
      </c>
      <c r="E618" s="6" t="s">
        <v>1829</v>
      </c>
      <c r="F618" s="5" t="s">
        <v>2405</v>
      </c>
      <c r="G618">
        <v>3</v>
      </c>
      <c r="H618">
        <v>601.6</v>
      </c>
      <c r="I618" s="6" t="s">
        <v>2843</v>
      </c>
      <c r="J618" s="6" t="s">
        <v>3067</v>
      </c>
      <c r="K618" s="6" t="s">
        <v>3071</v>
      </c>
      <c r="L618" t="s">
        <v>3691</v>
      </c>
      <c r="M618">
        <v>7</v>
      </c>
      <c r="N618" t="s">
        <v>4275</v>
      </c>
      <c r="O618" t="s">
        <v>4281</v>
      </c>
      <c r="P618">
        <v>1804.8</v>
      </c>
    </row>
    <row r="619" spans="1:16" x14ac:dyDescent="0.3">
      <c r="A619" t="s">
        <v>631</v>
      </c>
      <c r="B619" s="3">
        <v>45330</v>
      </c>
      <c r="C619" s="7" t="str">
        <f t="shared" si="18"/>
        <v>2024</v>
      </c>
      <c r="D619" s="7" t="str">
        <f t="shared" si="19"/>
        <v>Feb</v>
      </c>
      <c r="E619" s="6" t="s">
        <v>1830</v>
      </c>
      <c r="F619" s="5" t="s">
        <v>2405</v>
      </c>
      <c r="G619">
        <v>3</v>
      </c>
      <c r="H619">
        <v>184.47</v>
      </c>
      <c r="I619" s="6" t="s">
        <v>2844</v>
      </c>
      <c r="J619" s="6" t="s">
        <v>3066</v>
      </c>
      <c r="K619" s="6" t="s">
        <v>3071</v>
      </c>
      <c r="L619" t="s">
        <v>3692</v>
      </c>
      <c r="M619">
        <v>4</v>
      </c>
      <c r="N619" t="s">
        <v>4285</v>
      </c>
      <c r="O619" t="s">
        <v>4279</v>
      </c>
      <c r="P619">
        <v>553.41</v>
      </c>
    </row>
    <row r="620" spans="1:16" x14ac:dyDescent="0.3">
      <c r="A620" t="s">
        <v>632</v>
      </c>
      <c r="B620" s="3">
        <v>45538</v>
      </c>
      <c r="C620" s="7" t="str">
        <f t="shared" si="18"/>
        <v>2024</v>
      </c>
      <c r="D620" s="7" t="str">
        <f t="shared" si="19"/>
        <v>Sept</v>
      </c>
      <c r="E620" s="6" t="s">
        <v>1831</v>
      </c>
      <c r="F620" s="5" t="s">
        <v>2405</v>
      </c>
      <c r="G620">
        <v>1</v>
      </c>
      <c r="H620">
        <v>411.34</v>
      </c>
      <c r="I620" s="6" t="s">
        <v>2845</v>
      </c>
      <c r="J620" s="6" t="s">
        <v>3065</v>
      </c>
      <c r="K620" s="6" t="s">
        <v>3072</v>
      </c>
      <c r="L620" t="s">
        <v>3693</v>
      </c>
      <c r="M620">
        <v>5</v>
      </c>
      <c r="N620" t="s">
        <v>4285</v>
      </c>
      <c r="O620" t="s">
        <v>4278</v>
      </c>
      <c r="P620">
        <v>411.34</v>
      </c>
    </row>
    <row r="621" spans="1:16" x14ac:dyDescent="0.3">
      <c r="A621" t="s">
        <v>633</v>
      </c>
      <c r="B621" s="3">
        <v>45489</v>
      </c>
      <c r="C621" s="7" t="str">
        <f t="shared" si="18"/>
        <v>2024</v>
      </c>
      <c r="D621" s="7" t="str">
        <f t="shared" si="19"/>
        <v>Jul</v>
      </c>
      <c r="E621" s="6" t="s">
        <v>1832</v>
      </c>
      <c r="F621" s="5" t="s">
        <v>2408</v>
      </c>
      <c r="G621">
        <v>1</v>
      </c>
      <c r="H621">
        <v>532.89</v>
      </c>
      <c r="I621" s="6" t="s">
        <v>2783</v>
      </c>
      <c r="J621" s="6" t="s">
        <v>3068</v>
      </c>
      <c r="K621" s="6" t="s">
        <v>3074</v>
      </c>
      <c r="L621" t="s">
        <v>3694</v>
      </c>
      <c r="M621">
        <v>2</v>
      </c>
      <c r="N621" t="s">
        <v>4285</v>
      </c>
      <c r="O621" t="s">
        <v>4279</v>
      </c>
      <c r="P621">
        <v>532.89</v>
      </c>
    </row>
    <row r="622" spans="1:16" x14ac:dyDescent="0.3">
      <c r="A622" t="s">
        <v>634</v>
      </c>
      <c r="B622" s="3">
        <v>45378</v>
      </c>
      <c r="C622" s="7" t="str">
        <f t="shared" si="18"/>
        <v>2024</v>
      </c>
      <c r="D622" s="7" t="str">
        <f t="shared" si="19"/>
        <v>Mar</v>
      </c>
      <c r="E622" s="6" t="s">
        <v>1833</v>
      </c>
      <c r="F622" s="5" t="s">
        <v>2405</v>
      </c>
      <c r="G622">
        <v>3</v>
      </c>
      <c r="H622">
        <v>136.34</v>
      </c>
      <c r="I622" s="6" t="s">
        <v>2846</v>
      </c>
      <c r="J622" s="6" t="s">
        <v>3065</v>
      </c>
      <c r="K622" s="6" t="s">
        <v>3072</v>
      </c>
      <c r="L622" t="s">
        <v>3695</v>
      </c>
      <c r="M622">
        <v>8</v>
      </c>
      <c r="N622" t="s">
        <v>4275</v>
      </c>
      <c r="O622" t="s">
        <v>4279</v>
      </c>
      <c r="P622">
        <v>409.02</v>
      </c>
    </row>
    <row r="623" spans="1:16" x14ac:dyDescent="0.3">
      <c r="A623" t="s">
        <v>635</v>
      </c>
      <c r="B623" s="3">
        <v>45221</v>
      </c>
      <c r="C623" s="7" t="str">
        <f t="shared" si="18"/>
        <v>2023</v>
      </c>
      <c r="D623" s="7" t="str">
        <f t="shared" si="19"/>
        <v>Oct</v>
      </c>
      <c r="E623" s="6" t="s">
        <v>1834</v>
      </c>
      <c r="F623" s="5" t="s">
        <v>2404</v>
      </c>
      <c r="G623">
        <v>5</v>
      </c>
      <c r="H623">
        <v>476.01</v>
      </c>
      <c r="I623" s="6" t="s">
        <v>2482</v>
      </c>
      <c r="J623" s="6" t="s">
        <v>3067</v>
      </c>
      <c r="K623" s="6" t="s">
        <v>3073</v>
      </c>
      <c r="L623" t="s">
        <v>3696</v>
      </c>
      <c r="M623">
        <v>7</v>
      </c>
      <c r="N623" t="s">
        <v>4277</v>
      </c>
      <c r="O623" t="s">
        <v>4282</v>
      </c>
      <c r="P623">
        <v>2380.0500000000002</v>
      </c>
    </row>
    <row r="624" spans="1:16" x14ac:dyDescent="0.3">
      <c r="A624" t="s">
        <v>636</v>
      </c>
      <c r="B624" s="3">
        <v>45598</v>
      </c>
      <c r="C624" s="7" t="str">
        <f t="shared" si="18"/>
        <v>2024</v>
      </c>
      <c r="D624" s="7" t="str">
        <f t="shared" si="19"/>
        <v>Nov</v>
      </c>
      <c r="E624" s="6" t="s">
        <v>1835</v>
      </c>
      <c r="F624" s="5" t="s">
        <v>2409</v>
      </c>
      <c r="G624">
        <v>5</v>
      </c>
      <c r="H624">
        <v>236.38</v>
      </c>
      <c r="I624" s="6" t="s">
        <v>2445</v>
      </c>
      <c r="J624" s="6" t="s">
        <v>3067</v>
      </c>
      <c r="K624" s="6" t="s">
        <v>3072</v>
      </c>
      <c r="L624" t="s">
        <v>3697</v>
      </c>
      <c r="M624">
        <v>7</v>
      </c>
      <c r="N624" t="s">
        <v>4285</v>
      </c>
      <c r="O624" t="s">
        <v>4281</v>
      </c>
      <c r="P624">
        <v>1181.9000000000001</v>
      </c>
    </row>
    <row r="625" spans="1:16" x14ac:dyDescent="0.3">
      <c r="A625" t="s">
        <v>637</v>
      </c>
      <c r="B625" s="3">
        <v>45093</v>
      </c>
      <c r="C625" s="7" t="str">
        <f t="shared" si="18"/>
        <v>2023</v>
      </c>
      <c r="D625" s="7" t="str">
        <f t="shared" si="19"/>
        <v>Jun</v>
      </c>
      <c r="E625" s="6" t="s">
        <v>1836</v>
      </c>
      <c r="F625" s="5" t="s">
        <v>2407</v>
      </c>
      <c r="G625">
        <v>3</v>
      </c>
      <c r="H625">
        <v>396</v>
      </c>
      <c r="I625" s="6" t="s">
        <v>2847</v>
      </c>
      <c r="J625" s="6" t="s">
        <v>3068</v>
      </c>
      <c r="K625" s="6" t="s">
        <v>3071</v>
      </c>
      <c r="L625" t="s">
        <v>3698</v>
      </c>
      <c r="M625">
        <v>4</v>
      </c>
      <c r="N625" t="s">
        <v>4276</v>
      </c>
      <c r="O625" t="s">
        <v>4278</v>
      </c>
      <c r="P625">
        <v>1188</v>
      </c>
    </row>
    <row r="626" spans="1:16" x14ac:dyDescent="0.3">
      <c r="A626" t="s">
        <v>638</v>
      </c>
      <c r="B626" s="3">
        <v>45307</v>
      </c>
      <c r="C626" s="7" t="str">
        <f t="shared" si="18"/>
        <v>2024</v>
      </c>
      <c r="D626" s="7" t="str">
        <f t="shared" si="19"/>
        <v>Jan</v>
      </c>
      <c r="E626" s="6" t="s">
        <v>1837</v>
      </c>
      <c r="F626" s="5" t="s">
        <v>2405</v>
      </c>
      <c r="G626">
        <v>5</v>
      </c>
      <c r="H626">
        <v>341.96</v>
      </c>
      <c r="I626" s="6" t="s">
        <v>2710</v>
      </c>
      <c r="J626" s="6" t="s">
        <v>3065</v>
      </c>
      <c r="K626" s="6" t="s">
        <v>3073</v>
      </c>
      <c r="L626" t="s">
        <v>3699</v>
      </c>
      <c r="M626">
        <v>6</v>
      </c>
      <c r="N626" t="s">
        <v>4285</v>
      </c>
      <c r="O626" t="s">
        <v>4280</v>
      </c>
      <c r="P626">
        <v>1709.8</v>
      </c>
    </row>
    <row r="627" spans="1:16" x14ac:dyDescent="0.3">
      <c r="A627" t="s">
        <v>639</v>
      </c>
      <c r="B627" s="3">
        <v>45193</v>
      </c>
      <c r="C627" s="7" t="str">
        <f t="shared" si="18"/>
        <v>2023</v>
      </c>
      <c r="D627" s="7" t="str">
        <f t="shared" si="19"/>
        <v>Sept</v>
      </c>
      <c r="E627" s="6" t="s">
        <v>1838</v>
      </c>
      <c r="F627" s="5" t="s">
        <v>2405</v>
      </c>
      <c r="G627">
        <v>1</v>
      </c>
      <c r="H627">
        <v>672.89</v>
      </c>
      <c r="I627" s="6" t="s">
        <v>2848</v>
      </c>
      <c r="J627" s="6" t="s">
        <v>3067</v>
      </c>
      <c r="K627" s="6" t="s">
        <v>3074</v>
      </c>
      <c r="L627" t="s">
        <v>3700</v>
      </c>
      <c r="M627">
        <v>1</v>
      </c>
      <c r="N627" t="s">
        <v>4277</v>
      </c>
      <c r="O627" t="s">
        <v>4280</v>
      </c>
      <c r="P627">
        <v>672.89</v>
      </c>
    </row>
    <row r="628" spans="1:16" x14ac:dyDescent="0.3">
      <c r="A628" t="s">
        <v>640</v>
      </c>
      <c r="B628" s="3">
        <v>45352</v>
      </c>
      <c r="C628" s="7" t="str">
        <f t="shared" si="18"/>
        <v>2024</v>
      </c>
      <c r="D628" s="7" t="str">
        <f t="shared" si="19"/>
        <v>Mar</v>
      </c>
      <c r="E628" s="6" t="s">
        <v>1839</v>
      </c>
      <c r="F628" s="5" t="s">
        <v>2405</v>
      </c>
      <c r="G628">
        <v>2</v>
      </c>
      <c r="H628">
        <v>657.48</v>
      </c>
      <c r="I628" s="6" t="s">
        <v>2745</v>
      </c>
      <c r="J628" s="6" t="s">
        <v>3066</v>
      </c>
      <c r="K628" s="6" t="s">
        <v>3070</v>
      </c>
      <c r="L628" t="s">
        <v>3701</v>
      </c>
      <c r="M628">
        <v>5</v>
      </c>
      <c r="N628" t="s">
        <v>4275</v>
      </c>
      <c r="O628" t="s">
        <v>4279</v>
      </c>
      <c r="P628">
        <v>1314.96</v>
      </c>
    </row>
    <row r="629" spans="1:16" x14ac:dyDescent="0.3">
      <c r="A629" t="s">
        <v>641</v>
      </c>
      <c r="B629" s="3">
        <v>45144</v>
      </c>
      <c r="C629" s="7" t="str">
        <f t="shared" si="18"/>
        <v>2023</v>
      </c>
      <c r="D629" s="7" t="str">
        <f t="shared" si="19"/>
        <v>Aug</v>
      </c>
      <c r="E629" s="6" t="s">
        <v>1840</v>
      </c>
      <c r="F629" s="5" t="s">
        <v>2406</v>
      </c>
      <c r="G629">
        <v>3</v>
      </c>
      <c r="H629">
        <v>498.68</v>
      </c>
      <c r="I629" s="6" t="s">
        <v>2812</v>
      </c>
      <c r="J629" s="6" t="s">
        <v>3066</v>
      </c>
      <c r="K629" s="6" t="s">
        <v>3072</v>
      </c>
      <c r="L629" t="s">
        <v>3702</v>
      </c>
      <c r="M629">
        <v>4</v>
      </c>
      <c r="N629" t="s">
        <v>4276</v>
      </c>
      <c r="O629" t="s">
        <v>4280</v>
      </c>
      <c r="P629">
        <v>1496.04</v>
      </c>
    </row>
    <row r="630" spans="1:16" x14ac:dyDescent="0.3">
      <c r="A630" t="s">
        <v>642</v>
      </c>
      <c r="B630" s="3">
        <v>45011</v>
      </c>
      <c r="C630" s="7" t="str">
        <f t="shared" si="18"/>
        <v>2023</v>
      </c>
      <c r="D630" s="7" t="str">
        <f t="shared" si="19"/>
        <v>Mar</v>
      </c>
      <c r="E630" s="6" t="s">
        <v>1841</v>
      </c>
      <c r="F630" s="5" t="s">
        <v>2407</v>
      </c>
      <c r="G630">
        <v>5</v>
      </c>
      <c r="H630">
        <v>558.63</v>
      </c>
      <c r="I630" s="6" t="s">
        <v>2849</v>
      </c>
      <c r="J630" s="6" t="s">
        <v>3069</v>
      </c>
      <c r="K630" s="6" t="s">
        <v>3074</v>
      </c>
      <c r="L630" t="s">
        <v>3703</v>
      </c>
      <c r="M630">
        <v>8</v>
      </c>
      <c r="N630" t="s">
        <v>4276</v>
      </c>
      <c r="O630" t="s">
        <v>4279</v>
      </c>
      <c r="P630">
        <v>2793.15</v>
      </c>
    </row>
    <row r="631" spans="1:16" x14ac:dyDescent="0.3">
      <c r="A631" t="s">
        <v>643</v>
      </c>
      <c r="B631" s="3">
        <v>45114</v>
      </c>
      <c r="C631" s="7" t="str">
        <f t="shared" si="18"/>
        <v>2023</v>
      </c>
      <c r="D631" s="7" t="str">
        <f t="shared" si="19"/>
        <v>Jul</v>
      </c>
      <c r="E631" s="6" t="s">
        <v>1842</v>
      </c>
      <c r="F631" s="5" t="s">
        <v>2404</v>
      </c>
      <c r="G631">
        <v>3</v>
      </c>
      <c r="H631">
        <v>19.73</v>
      </c>
      <c r="I631" s="6" t="s">
        <v>2850</v>
      </c>
      <c r="J631" s="6" t="s">
        <v>3066</v>
      </c>
      <c r="K631" s="6" t="s">
        <v>3074</v>
      </c>
      <c r="L631" t="s">
        <v>3704</v>
      </c>
      <c r="M631">
        <v>3</v>
      </c>
      <c r="N631" t="s">
        <v>4285</v>
      </c>
      <c r="O631" t="s">
        <v>4279</v>
      </c>
      <c r="P631">
        <v>59.19</v>
      </c>
    </row>
    <row r="632" spans="1:16" x14ac:dyDescent="0.3">
      <c r="A632" t="s">
        <v>644</v>
      </c>
      <c r="B632" s="3">
        <v>45100</v>
      </c>
      <c r="C632" s="7" t="str">
        <f t="shared" si="18"/>
        <v>2023</v>
      </c>
      <c r="D632" s="7" t="str">
        <f t="shared" si="19"/>
        <v>Jun</v>
      </c>
      <c r="E632" s="6" t="s">
        <v>1843</v>
      </c>
      <c r="F632" s="5" t="s">
        <v>2403</v>
      </c>
      <c r="G632">
        <v>5</v>
      </c>
      <c r="H632">
        <v>248.84</v>
      </c>
      <c r="I632" s="6" t="s">
        <v>2851</v>
      </c>
      <c r="J632" s="6" t="s">
        <v>3065</v>
      </c>
      <c r="K632" s="6" t="s">
        <v>3071</v>
      </c>
      <c r="L632" t="s">
        <v>3705</v>
      </c>
      <c r="M632">
        <v>10</v>
      </c>
      <c r="N632" t="s">
        <v>4285</v>
      </c>
      <c r="O632" t="s">
        <v>4278</v>
      </c>
      <c r="P632">
        <v>1244.2</v>
      </c>
    </row>
    <row r="633" spans="1:16" x14ac:dyDescent="0.3">
      <c r="A633" t="s">
        <v>645</v>
      </c>
      <c r="B633" s="3">
        <v>45535</v>
      </c>
      <c r="C633" s="7" t="str">
        <f t="shared" si="18"/>
        <v>2024</v>
      </c>
      <c r="D633" s="7" t="str">
        <f t="shared" si="19"/>
        <v>Aug</v>
      </c>
      <c r="E633" s="6" t="s">
        <v>1844</v>
      </c>
      <c r="F633" s="5" t="s">
        <v>2406</v>
      </c>
      <c r="G633">
        <v>3</v>
      </c>
      <c r="H633">
        <v>46.11</v>
      </c>
      <c r="I633" s="6" t="s">
        <v>2645</v>
      </c>
      <c r="J633" s="6" t="s">
        <v>3068</v>
      </c>
      <c r="K633" s="6" t="s">
        <v>3072</v>
      </c>
      <c r="L633" t="s">
        <v>3706</v>
      </c>
      <c r="M633">
        <v>5</v>
      </c>
      <c r="N633" t="s">
        <v>4277</v>
      </c>
      <c r="O633" t="s">
        <v>4279</v>
      </c>
      <c r="P633">
        <v>138.33000000000001</v>
      </c>
    </row>
    <row r="634" spans="1:16" x14ac:dyDescent="0.3">
      <c r="A634" t="s">
        <v>646</v>
      </c>
      <c r="B634" s="3">
        <v>45048</v>
      </c>
      <c r="C634" s="7" t="str">
        <f t="shared" si="18"/>
        <v>2023</v>
      </c>
      <c r="D634" s="7" t="str">
        <f t="shared" si="19"/>
        <v>May</v>
      </c>
      <c r="E634" s="6" t="s">
        <v>1845</v>
      </c>
      <c r="F634" s="5" t="s">
        <v>2408</v>
      </c>
      <c r="G634">
        <v>5</v>
      </c>
      <c r="H634">
        <v>678.16</v>
      </c>
      <c r="I634" s="6" t="s">
        <v>2629</v>
      </c>
      <c r="J634" s="6" t="s">
        <v>3068</v>
      </c>
      <c r="K634" s="6" t="s">
        <v>3073</v>
      </c>
      <c r="L634" t="s">
        <v>3707</v>
      </c>
      <c r="M634">
        <v>7</v>
      </c>
      <c r="N634" t="s">
        <v>4277</v>
      </c>
      <c r="O634" t="s">
        <v>4281</v>
      </c>
      <c r="P634">
        <v>3390.8</v>
      </c>
    </row>
    <row r="635" spans="1:16" x14ac:dyDescent="0.3">
      <c r="A635" t="s">
        <v>647</v>
      </c>
      <c r="B635" s="3">
        <v>45392</v>
      </c>
      <c r="C635" s="7" t="str">
        <f t="shared" si="18"/>
        <v>2024</v>
      </c>
      <c r="D635" s="7" t="str">
        <f t="shared" si="19"/>
        <v>Apr</v>
      </c>
      <c r="E635" s="6" t="s">
        <v>1846</v>
      </c>
      <c r="F635" s="5" t="s">
        <v>2408</v>
      </c>
      <c r="G635">
        <v>5</v>
      </c>
      <c r="H635">
        <v>601.72</v>
      </c>
      <c r="I635" s="6" t="s">
        <v>2728</v>
      </c>
      <c r="J635" s="6" t="s">
        <v>3068</v>
      </c>
      <c r="K635" s="6" t="s">
        <v>3071</v>
      </c>
      <c r="L635" t="s">
        <v>3708</v>
      </c>
      <c r="M635">
        <v>5</v>
      </c>
      <c r="N635" t="s">
        <v>4277</v>
      </c>
      <c r="O635" t="s">
        <v>4278</v>
      </c>
      <c r="P635">
        <v>3008.6</v>
      </c>
    </row>
    <row r="636" spans="1:16" x14ac:dyDescent="0.3">
      <c r="A636" t="s">
        <v>648</v>
      </c>
      <c r="B636" s="3">
        <v>45407</v>
      </c>
      <c r="C636" s="7" t="str">
        <f t="shared" si="18"/>
        <v>2024</v>
      </c>
      <c r="D636" s="7" t="str">
        <f t="shared" si="19"/>
        <v>Apr</v>
      </c>
      <c r="E636" s="6" t="s">
        <v>1847</v>
      </c>
      <c r="F636" s="5" t="s">
        <v>2407</v>
      </c>
      <c r="G636">
        <v>2</v>
      </c>
      <c r="H636">
        <v>259.32</v>
      </c>
      <c r="I636" s="6" t="s">
        <v>2852</v>
      </c>
      <c r="J636" s="6" t="s">
        <v>3068</v>
      </c>
      <c r="K636" s="6" t="s">
        <v>3073</v>
      </c>
      <c r="L636" t="s">
        <v>3709</v>
      </c>
      <c r="M636">
        <v>2</v>
      </c>
      <c r="N636" t="s">
        <v>4277</v>
      </c>
      <c r="O636" t="s">
        <v>4279</v>
      </c>
      <c r="P636">
        <v>518.64</v>
      </c>
    </row>
    <row r="637" spans="1:16" x14ac:dyDescent="0.3">
      <c r="A637" t="s">
        <v>649</v>
      </c>
      <c r="B637" s="3">
        <v>45273</v>
      </c>
      <c r="C637" s="7" t="str">
        <f t="shared" si="18"/>
        <v>2023</v>
      </c>
      <c r="D637" s="7" t="str">
        <f t="shared" si="19"/>
        <v>Dec</v>
      </c>
      <c r="E637" s="6" t="s">
        <v>1848</v>
      </c>
      <c r="F637" s="5" t="s">
        <v>2406</v>
      </c>
      <c r="G637">
        <v>3</v>
      </c>
      <c r="H637">
        <v>63.68</v>
      </c>
      <c r="I637" s="6" t="s">
        <v>2458</v>
      </c>
      <c r="J637" s="6" t="s">
        <v>3069</v>
      </c>
      <c r="K637" s="6" t="s">
        <v>3072</v>
      </c>
      <c r="L637" t="s">
        <v>3710</v>
      </c>
      <c r="M637">
        <v>6</v>
      </c>
      <c r="N637" t="s">
        <v>4285</v>
      </c>
      <c r="O637" t="s">
        <v>4281</v>
      </c>
      <c r="P637">
        <v>191.04</v>
      </c>
    </row>
    <row r="638" spans="1:16" x14ac:dyDescent="0.3">
      <c r="A638" t="s">
        <v>650</v>
      </c>
      <c r="B638" s="3">
        <v>45204</v>
      </c>
      <c r="C638" s="7" t="str">
        <f t="shared" si="18"/>
        <v>2023</v>
      </c>
      <c r="D638" s="7" t="str">
        <f t="shared" si="19"/>
        <v>Oct</v>
      </c>
      <c r="E638" s="6" t="s">
        <v>1849</v>
      </c>
      <c r="F638" s="5" t="s">
        <v>2408</v>
      </c>
      <c r="G638">
        <v>4</v>
      </c>
      <c r="H638">
        <v>371.07</v>
      </c>
      <c r="I638" s="6" t="s">
        <v>2564</v>
      </c>
      <c r="J638" s="6" t="s">
        <v>3069</v>
      </c>
      <c r="K638" s="6" t="s">
        <v>3071</v>
      </c>
      <c r="L638" t="s">
        <v>3711</v>
      </c>
      <c r="M638">
        <v>7</v>
      </c>
      <c r="N638" t="s">
        <v>4277</v>
      </c>
      <c r="O638" t="s">
        <v>4281</v>
      </c>
      <c r="P638">
        <v>1484.28</v>
      </c>
    </row>
    <row r="639" spans="1:16" x14ac:dyDescent="0.3">
      <c r="A639" t="s">
        <v>651</v>
      </c>
      <c r="B639" s="3">
        <v>45564</v>
      </c>
      <c r="C639" s="7" t="str">
        <f t="shared" si="18"/>
        <v>2024</v>
      </c>
      <c r="D639" s="7" t="str">
        <f t="shared" si="19"/>
        <v>Sept</v>
      </c>
      <c r="E639" s="6" t="s">
        <v>1850</v>
      </c>
      <c r="F639" s="5" t="s">
        <v>2406</v>
      </c>
      <c r="G639">
        <v>4</v>
      </c>
      <c r="H639">
        <v>306.35000000000002</v>
      </c>
      <c r="I639" s="6" t="s">
        <v>2853</v>
      </c>
      <c r="J639" s="6" t="s">
        <v>3068</v>
      </c>
      <c r="K639" s="6" t="s">
        <v>3070</v>
      </c>
      <c r="L639" t="s">
        <v>3712</v>
      </c>
      <c r="M639">
        <v>7</v>
      </c>
      <c r="N639" t="s">
        <v>4277</v>
      </c>
      <c r="O639" t="s">
        <v>4279</v>
      </c>
      <c r="P639">
        <v>1225.4000000000001</v>
      </c>
    </row>
    <row r="640" spans="1:16" x14ac:dyDescent="0.3">
      <c r="A640" t="s">
        <v>652</v>
      </c>
      <c r="B640" s="3">
        <v>45214</v>
      </c>
      <c r="C640" s="7" t="str">
        <f t="shared" si="18"/>
        <v>2023</v>
      </c>
      <c r="D640" s="7" t="str">
        <f t="shared" si="19"/>
        <v>Oct</v>
      </c>
      <c r="E640" s="6" t="s">
        <v>1851</v>
      </c>
      <c r="F640" s="5" t="s">
        <v>2405</v>
      </c>
      <c r="G640">
        <v>4</v>
      </c>
      <c r="H640">
        <v>578.27</v>
      </c>
      <c r="I640" s="6" t="s">
        <v>2854</v>
      </c>
      <c r="J640" s="6" t="s">
        <v>3066</v>
      </c>
      <c r="K640" s="6" t="s">
        <v>3073</v>
      </c>
      <c r="L640" t="s">
        <v>3713</v>
      </c>
      <c r="M640">
        <v>9</v>
      </c>
      <c r="N640" t="s">
        <v>4277</v>
      </c>
      <c r="O640" t="s">
        <v>4280</v>
      </c>
      <c r="P640">
        <v>2313.08</v>
      </c>
    </row>
    <row r="641" spans="1:16" x14ac:dyDescent="0.3">
      <c r="A641" t="s">
        <v>653</v>
      </c>
      <c r="B641" s="3">
        <v>44946</v>
      </c>
      <c r="C641" s="7" t="str">
        <f t="shared" si="18"/>
        <v>2023</v>
      </c>
      <c r="D641" s="7" t="str">
        <f t="shared" si="19"/>
        <v>Jan</v>
      </c>
      <c r="E641" s="6" t="s">
        <v>1852</v>
      </c>
      <c r="F641" s="5" t="s">
        <v>2406</v>
      </c>
      <c r="G641">
        <v>1</v>
      </c>
      <c r="H641">
        <v>529.19000000000005</v>
      </c>
      <c r="I641" s="6" t="s">
        <v>2772</v>
      </c>
      <c r="J641" s="6" t="s">
        <v>3069</v>
      </c>
      <c r="K641" s="6" t="s">
        <v>3071</v>
      </c>
      <c r="L641" t="s">
        <v>3714</v>
      </c>
      <c r="M641">
        <v>5</v>
      </c>
      <c r="N641" t="s">
        <v>4285</v>
      </c>
      <c r="O641" t="s">
        <v>4279</v>
      </c>
      <c r="P641">
        <v>529.19000000000005</v>
      </c>
    </row>
    <row r="642" spans="1:16" x14ac:dyDescent="0.3">
      <c r="A642" t="s">
        <v>654</v>
      </c>
      <c r="B642" s="3">
        <v>45349</v>
      </c>
      <c r="C642" s="7" t="str">
        <f t="shared" ref="C642:C705" si="20">TEXT(B642, "yyyy")</f>
        <v>2024</v>
      </c>
      <c r="D642" s="7" t="str">
        <f t="shared" ref="D642:D705" si="21">TEXT(B642, "MMM")</f>
        <v>Feb</v>
      </c>
      <c r="E642" s="6" t="s">
        <v>1853</v>
      </c>
      <c r="F642" s="5" t="s">
        <v>2406</v>
      </c>
      <c r="G642">
        <v>2</v>
      </c>
      <c r="H642">
        <v>587.49</v>
      </c>
      <c r="I642" s="6" t="s">
        <v>2507</v>
      </c>
      <c r="J642" s="6" t="s">
        <v>3068</v>
      </c>
      <c r="K642" s="6" t="s">
        <v>3072</v>
      </c>
      <c r="L642" t="s">
        <v>3715</v>
      </c>
      <c r="M642">
        <v>6</v>
      </c>
      <c r="N642" t="s">
        <v>4275</v>
      </c>
      <c r="O642" t="s">
        <v>4279</v>
      </c>
      <c r="P642">
        <v>1174.98</v>
      </c>
    </row>
    <row r="643" spans="1:16" x14ac:dyDescent="0.3">
      <c r="A643" t="s">
        <v>655</v>
      </c>
      <c r="B643" s="3">
        <v>45473</v>
      </c>
      <c r="C643" s="7" t="str">
        <f t="shared" si="20"/>
        <v>2024</v>
      </c>
      <c r="D643" s="7" t="str">
        <f t="shared" si="21"/>
        <v>Jun</v>
      </c>
      <c r="E643" s="6" t="s">
        <v>1854</v>
      </c>
      <c r="F643" s="5" t="s">
        <v>2407</v>
      </c>
      <c r="G643">
        <v>4</v>
      </c>
      <c r="H643">
        <v>567.57000000000005</v>
      </c>
      <c r="I643" s="6" t="s">
        <v>2627</v>
      </c>
      <c r="J643" s="6" t="s">
        <v>3065</v>
      </c>
      <c r="K643" s="6" t="s">
        <v>3074</v>
      </c>
      <c r="L643" t="s">
        <v>3716</v>
      </c>
      <c r="M643">
        <v>9</v>
      </c>
      <c r="N643" t="s">
        <v>4277</v>
      </c>
      <c r="O643" t="s">
        <v>4282</v>
      </c>
      <c r="P643">
        <v>2270.2800000000002</v>
      </c>
    </row>
    <row r="644" spans="1:16" x14ac:dyDescent="0.3">
      <c r="A644" t="s">
        <v>656</v>
      </c>
      <c r="B644" s="3">
        <v>45411</v>
      </c>
      <c r="C644" s="7" t="str">
        <f t="shared" si="20"/>
        <v>2024</v>
      </c>
      <c r="D644" s="7" t="str">
        <f t="shared" si="21"/>
        <v>Apr</v>
      </c>
      <c r="E644" s="6" t="s">
        <v>1855</v>
      </c>
      <c r="F644" s="5" t="s">
        <v>2406</v>
      </c>
      <c r="G644">
        <v>5</v>
      </c>
      <c r="H644">
        <v>85.22</v>
      </c>
      <c r="I644" s="6" t="s">
        <v>2855</v>
      </c>
      <c r="J644" s="6" t="s">
        <v>3067</v>
      </c>
      <c r="K644" s="6" t="s">
        <v>3071</v>
      </c>
      <c r="L644" t="s">
        <v>3717</v>
      </c>
      <c r="M644">
        <v>7</v>
      </c>
      <c r="N644" t="s">
        <v>4276</v>
      </c>
      <c r="O644" t="s">
        <v>4280</v>
      </c>
      <c r="P644">
        <v>426.1</v>
      </c>
    </row>
    <row r="645" spans="1:16" x14ac:dyDescent="0.3">
      <c r="A645" t="s">
        <v>657</v>
      </c>
      <c r="B645" s="3">
        <v>45530</v>
      </c>
      <c r="C645" s="7" t="str">
        <f t="shared" si="20"/>
        <v>2024</v>
      </c>
      <c r="D645" s="7" t="str">
        <f t="shared" si="21"/>
        <v>Aug</v>
      </c>
      <c r="E645" s="6" t="s">
        <v>1856</v>
      </c>
      <c r="F645" s="5" t="s">
        <v>2408</v>
      </c>
      <c r="G645">
        <v>1</v>
      </c>
      <c r="H645">
        <v>438.37</v>
      </c>
      <c r="I645" s="6" t="s">
        <v>2507</v>
      </c>
      <c r="J645" s="6" t="s">
        <v>3069</v>
      </c>
      <c r="K645" s="6" t="s">
        <v>3071</v>
      </c>
      <c r="L645" t="s">
        <v>3718</v>
      </c>
      <c r="M645">
        <v>4</v>
      </c>
      <c r="N645" t="s">
        <v>4275</v>
      </c>
      <c r="O645" t="s">
        <v>4279</v>
      </c>
      <c r="P645">
        <v>438.37</v>
      </c>
    </row>
    <row r="646" spans="1:16" x14ac:dyDescent="0.3">
      <c r="A646" t="s">
        <v>658</v>
      </c>
      <c r="B646" s="3">
        <v>45245</v>
      </c>
      <c r="C646" s="7" t="str">
        <f t="shared" si="20"/>
        <v>2023</v>
      </c>
      <c r="D646" s="7" t="str">
        <f t="shared" si="21"/>
        <v>Nov</v>
      </c>
      <c r="E646" s="6" t="s">
        <v>1857</v>
      </c>
      <c r="F646" s="5" t="s">
        <v>2406</v>
      </c>
      <c r="G646">
        <v>2</v>
      </c>
      <c r="H646">
        <v>366.23</v>
      </c>
      <c r="I646" s="6" t="s">
        <v>2856</v>
      </c>
      <c r="J646" s="6" t="s">
        <v>3069</v>
      </c>
      <c r="K646" s="6" t="s">
        <v>3070</v>
      </c>
      <c r="L646" t="s">
        <v>3719</v>
      </c>
      <c r="M646">
        <v>2</v>
      </c>
      <c r="N646" t="s">
        <v>4277</v>
      </c>
      <c r="O646" t="s">
        <v>4280</v>
      </c>
      <c r="P646">
        <v>732.46</v>
      </c>
    </row>
    <row r="647" spans="1:16" x14ac:dyDescent="0.3">
      <c r="A647" t="s">
        <v>659</v>
      </c>
      <c r="B647" s="3">
        <v>44928</v>
      </c>
      <c r="C647" s="7" t="str">
        <f t="shared" si="20"/>
        <v>2023</v>
      </c>
      <c r="D647" s="7" t="str">
        <f t="shared" si="21"/>
        <v>Jan</v>
      </c>
      <c r="E647" s="6" t="s">
        <v>1858</v>
      </c>
      <c r="F647" s="5" t="s">
        <v>2408</v>
      </c>
      <c r="G647">
        <v>2</v>
      </c>
      <c r="H647">
        <v>150.05000000000001</v>
      </c>
      <c r="I647" s="6" t="s">
        <v>2525</v>
      </c>
      <c r="J647" s="6" t="s">
        <v>3067</v>
      </c>
      <c r="K647" s="6" t="s">
        <v>3071</v>
      </c>
      <c r="L647" t="s">
        <v>3720</v>
      </c>
      <c r="M647">
        <v>4</v>
      </c>
      <c r="N647" t="s">
        <v>4275</v>
      </c>
      <c r="O647" t="s">
        <v>4281</v>
      </c>
      <c r="P647">
        <v>300.10000000000002</v>
      </c>
    </row>
    <row r="648" spans="1:16" x14ac:dyDescent="0.3">
      <c r="A648" t="s">
        <v>660</v>
      </c>
      <c r="B648" s="3">
        <v>45226</v>
      </c>
      <c r="C648" s="7" t="str">
        <f t="shared" si="20"/>
        <v>2023</v>
      </c>
      <c r="D648" s="7" t="str">
        <f t="shared" si="21"/>
        <v>Oct</v>
      </c>
      <c r="E648" s="6" t="s">
        <v>1859</v>
      </c>
      <c r="F648" s="5" t="s">
        <v>2406</v>
      </c>
      <c r="G648">
        <v>4</v>
      </c>
      <c r="H648">
        <v>498.51</v>
      </c>
      <c r="I648" s="6" t="s">
        <v>2857</v>
      </c>
      <c r="J648" s="6" t="s">
        <v>3065</v>
      </c>
      <c r="K648" s="6" t="s">
        <v>3070</v>
      </c>
      <c r="L648" t="s">
        <v>3721</v>
      </c>
      <c r="M648">
        <v>4</v>
      </c>
      <c r="N648" t="s">
        <v>4275</v>
      </c>
      <c r="O648" t="s">
        <v>4282</v>
      </c>
      <c r="P648">
        <v>1994.04</v>
      </c>
    </row>
    <row r="649" spans="1:16" x14ac:dyDescent="0.3">
      <c r="A649" t="s">
        <v>661</v>
      </c>
      <c r="B649" s="3">
        <v>45771</v>
      </c>
      <c r="C649" s="7" t="str">
        <f t="shared" si="20"/>
        <v>2025</v>
      </c>
      <c r="D649" s="7" t="str">
        <f t="shared" si="21"/>
        <v>Apr</v>
      </c>
      <c r="E649" s="6" t="s">
        <v>1860</v>
      </c>
      <c r="F649" s="5" t="s">
        <v>2409</v>
      </c>
      <c r="G649">
        <v>3</v>
      </c>
      <c r="H649">
        <v>339.39</v>
      </c>
      <c r="I649" s="6" t="s">
        <v>2558</v>
      </c>
      <c r="J649" s="6" t="s">
        <v>3069</v>
      </c>
      <c r="K649" s="6" t="s">
        <v>3072</v>
      </c>
      <c r="L649" t="s">
        <v>3722</v>
      </c>
      <c r="M649">
        <v>7</v>
      </c>
      <c r="N649" t="s">
        <v>4276</v>
      </c>
      <c r="O649" t="s">
        <v>4282</v>
      </c>
      <c r="P649">
        <v>1018.17</v>
      </c>
    </row>
    <row r="650" spans="1:16" x14ac:dyDescent="0.3">
      <c r="A650" t="s">
        <v>662</v>
      </c>
      <c r="B650" s="3">
        <v>45675</v>
      </c>
      <c r="C650" s="7" t="str">
        <f t="shared" si="20"/>
        <v>2025</v>
      </c>
      <c r="D650" s="7" t="str">
        <f t="shared" si="21"/>
        <v>Jan</v>
      </c>
      <c r="E650" s="6" t="s">
        <v>1861</v>
      </c>
      <c r="F650" s="5" t="s">
        <v>2403</v>
      </c>
      <c r="G650">
        <v>2</v>
      </c>
      <c r="H650">
        <v>575.83000000000004</v>
      </c>
      <c r="I650" s="6" t="s">
        <v>2858</v>
      </c>
      <c r="J650" s="6" t="s">
        <v>3066</v>
      </c>
      <c r="K650" s="6" t="s">
        <v>3073</v>
      </c>
      <c r="L650" t="s">
        <v>3723</v>
      </c>
      <c r="M650">
        <v>3</v>
      </c>
      <c r="N650" t="s">
        <v>4277</v>
      </c>
      <c r="O650" t="s">
        <v>4279</v>
      </c>
      <c r="P650">
        <v>1151.6600000000001</v>
      </c>
    </row>
    <row r="651" spans="1:16" x14ac:dyDescent="0.3">
      <c r="A651" t="s">
        <v>663</v>
      </c>
      <c r="B651" s="3">
        <v>45283</v>
      </c>
      <c r="C651" s="7" t="str">
        <f t="shared" si="20"/>
        <v>2023</v>
      </c>
      <c r="D651" s="7" t="str">
        <f t="shared" si="21"/>
        <v>Dec</v>
      </c>
      <c r="E651" s="6" t="s">
        <v>1862</v>
      </c>
      <c r="F651" s="5" t="s">
        <v>2403</v>
      </c>
      <c r="G651">
        <v>2</v>
      </c>
      <c r="H651">
        <v>642.98</v>
      </c>
      <c r="I651" s="6" t="s">
        <v>2632</v>
      </c>
      <c r="J651" s="6" t="s">
        <v>3065</v>
      </c>
      <c r="K651" s="6" t="s">
        <v>3072</v>
      </c>
      <c r="L651" t="s">
        <v>3724</v>
      </c>
      <c r="M651">
        <v>7</v>
      </c>
      <c r="N651" t="s">
        <v>4276</v>
      </c>
      <c r="O651" t="s">
        <v>4280</v>
      </c>
      <c r="P651">
        <v>1285.96</v>
      </c>
    </row>
    <row r="652" spans="1:16" x14ac:dyDescent="0.3">
      <c r="A652" t="s">
        <v>664</v>
      </c>
      <c r="B652" s="3">
        <v>45064</v>
      </c>
      <c r="C652" s="7" t="str">
        <f t="shared" si="20"/>
        <v>2023</v>
      </c>
      <c r="D652" s="7" t="str">
        <f t="shared" si="21"/>
        <v>May</v>
      </c>
      <c r="E652" s="6" t="s">
        <v>1863</v>
      </c>
      <c r="F652" s="5" t="s">
        <v>2409</v>
      </c>
      <c r="G652">
        <v>2</v>
      </c>
      <c r="H652">
        <v>372.23</v>
      </c>
      <c r="I652" s="6" t="s">
        <v>2859</v>
      </c>
      <c r="J652" s="6" t="s">
        <v>3068</v>
      </c>
      <c r="K652" s="6" t="s">
        <v>3073</v>
      </c>
      <c r="L652" t="s">
        <v>3725</v>
      </c>
      <c r="M652">
        <v>7</v>
      </c>
      <c r="N652" t="s">
        <v>4275</v>
      </c>
      <c r="O652" t="s">
        <v>4280</v>
      </c>
      <c r="P652">
        <v>744.46</v>
      </c>
    </row>
    <row r="653" spans="1:16" x14ac:dyDescent="0.3">
      <c r="A653" t="s">
        <v>665</v>
      </c>
      <c r="B653" s="3">
        <v>45608</v>
      </c>
      <c r="C653" s="7" t="str">
        <f t="shared" si="20"/>
        <v>2024</v>
      </c>
      <c r="D653" s="7" t="str">
        <f t="shared" si="21"/>
        <v>Nov</v>
      </c>
      <c r="E653" s="6" t="s">
        <v>1864</v>
      </c>
      <c r="F653" s="5" t="s">
        <v>2406</v>
      </c>
      <c r="G653">
        <v>3</v>
      </c>
      <c r="H653">
        <v>646.34</v>
      </c>
      <c r="I653" s="6" t="s">
        <v>2584</v>
      </c>
      <c r="J653" s="6" t="s">
        <v>3065</v>
      </c>
      <c r="K653" s="6" t="s">
        <v>3074</v>
      </c>
      <c r="L653" t="s">
        <v>3726</v>
      </c>
      <c r="M653">
        <v>5</v>
      </c>
      <c r="N653" t="s">
        <v>4285</v>
      </c>
      <c r="O653" t="s">
        <v>4282</v>
      </c>
      <c r="P653">
        <v>1939.02</v>
      </c>
    </row>
    <row r="654" spans="1:16" x14ac:dyDescent="0.3">
      <c r="A654" t="s">
        <v>666</v>
      </c>
      <c r="B654" s="3">
        <v>45448</v>
      </c>
      <c r="C654" s="7" t="str">
        <f t="shared" si="20"/>
        <v>2024</v>
      </c>
      <c r="D654" s="7" t="str">
        <f t="shared" si="21"/>
        <v>Jun</v>
      </c>
      <c r="E654" s="6" t="s">
        <v>1865</v>
      </c>
      <c r="F654" s="5" t="s">
        <v>2406</v>
      </c>
      <c r="G654">
        <v>5</v>
      </c>
      <c r="H654">
        <v>341.84</v>
      </c>
      <c r="I654" s="6" t="s">
        <v>2860</v>
      </c>
      <c r="J654" s="6" t="s">
        <v>3066</v>
      </c>
      <c r="K654" s="6" t="s">
        <v>3070</v>
      </c>
      <c r="L654" t="s">
        <v>3727</v>
      </c>
      <c r="M654">
        <v>8</v>
      </c>
      <c r="N654" t="s">
        <v>4276</v>
      </c>
      <c r="O654" t="s">
        <v>4278</v>
      </c>
      <c r="P654">
        <v>1709.2</v>
      </c>
    </row>
    <row r="655" spans="1:16" x14ac:dyDescent="0.3">
      <c r="A655" t="s">
        <v>667</v>
      </c>
      <c r="B655" s="3">
        <v>45347</v>
      </c>
      <c r="C655" s="7" t="str">
        <f t="shared" si="20"/>
        <v>2024</v>
      </c>
      <c r="D655" s="7" t="str">
        <f t="shared" si="21"/>
        <v>Feb</v>
      </c>
      <c r="E655" s="6" t="s">
        <v>1866</v>
      </c>
      <c r="F655" s="5" t="s">
        <v>2407</v>
      </c>
      <c r="G655">
        <v>3</v>
      </c>
      <c r="H655">
        <v>690.3</v>
      </c>
      <c r="I655" s="6" t="s">
        <v>2710</v>
      </c>
      <c r="J655" s="6" t="s">
        <v>3067</v>
      </c>
      <c r="K655" s="6" t="s">
        <v>3070</v>
      </c>
      <c r="L655" t="s">
        <v>3728</v>
      </c>
      <c r="M655">
        <v>6</v>
      </c>
      <c r="N655" t="s">
        <v>4277</v>
      </c>
      <c r="O655" t="s">
        <v>4282</v>
      </c>
      <c r="P655">
        <v>2070.9</v>
      </c>
    </row>
    <row r="656" spans="1:16" x14ac:dyDescent="0.3">
      <c r="A656" t="s">
        <v>668</v>
      </c>
      <c r="B656" s="3">
        <v>45089</v>
      </c>
      <c r="C656" s="7" t="str">
        <f t="shared" si="20"/>
        <v>2023</v>
      </c>
      <c r="D656" s="7" t="str">
        <f t="shared" si="21"/>
        <v>Jun</v>
      </c>
      <c r="E656" s="6" t="s">
        <v>1867</v>
      </c>
      <c r="F656" s="5" t="s">
        <v>2405</v>
      </c>
      <c r="G656">
        <v>3</v>
      </c>
      <c r="H656">
        <v>382.37</v>
      </c>
      <c r="I656" s="6" t="s">
        <v>2861</v>
      </c>
      <c r="J656" s="6" t="s">
        <v>3065</v>
      </c>
      <c r="K656" s="6" t="s">
        <v>3072</v>
      </c>
      <c r="L656" t="s">
        <v>3729</v>
      </c>
      <c r="M656">
        <v>8</v>
      </c>
      <c r="N656" t="s">
        <v>4285</v>
      </c>
      <c r="O656" t="s">
        <v>4278</v>
      </c>
      <c r="P656">
        <v>1147.1099999999999</v>
      </c>
    </row>
    <row r="657" spans="1:16" x14ac:dyDescent="0.3">
      <c r="A657" t="s">
        <v>669</v>
      </c>
      <c r="B657" s="3">
        <v>44999</v>
      </c>
      <c r="C657" s="7" t="str">
        <f t="shared" si="20"/>
        <v>2023</v>
      </c>
      <c r="D657" s="7" t="str">
        <f t="shared" si="21"/>
        <v>Mar</v>
      </c>
      <c r="E657" s="6" t="s">
        <v>1868</v>
      </c>
      <c r="F657" s="5" t="s">
        <v>2406</v>
      </c>
      <c r="G657">
        <v>2</v>
      </c>
      <c r="H657">
        <v>132.6</v>
      </c>
      <c r="I657" s="6" t="s">
        <v>2758</v>
      </c>
      <c r="J657" s="6" t="s">
        <v>3065</v>
      </c>
      <c r="K657" s="6" t="s">
        <v>3071</v>
      </c>
      <c r="L657" t="s">
        <v>3730</v>
      </c>
      <c r="M657">
        <v>4</v>
      </c>
      <c r="N657" t="s">
        <v>4277</v>
      </c>
      <c r="O657" t="s">
        <v>4280</v>
      </c>
      <c r="P657">
        <v>265.2</v>
      </c>
    </row>
    <row r="658" spans="1:16" x14ac:dyDescent="0.3">
      <c r="A658" t="s">
        <v>670</v>
      </c>
      <c r="B658" s="3">
        <v>45309</v>
      </c>
      <c r="C658" s="7" t="str">
        <f t="shared" si="20"/>
        <v>2024</v>
      </c>
      <c r="D658" s="7" t="str">
        <f t="shared" si="21"/>
        <v>Jan</v>
      </c>
      <c r="E658" s="6" t="s">
        <v>1869</v>
      </c>
      <c r="F658" s="5" t="s">
        <v>2403</v>
      </c>
      <c r="G658">
        <v>2</v>
      </c>
      <c r="H658">
        <v>189.06</v>
      </c>
      <c r="I658" s="6" t="s">
        <v>2862</v>
      </c>
      <c r="J658" s="6" t="s">
        <v>3068</v>
      </c>
      <c r="K658" s="6" t="s">
        <v>3070</v>
      </c>
      <c r="L658" t="s">
        <v>3731</v>
      </c>
      <c r="M658">
        <v>7</v>
      </c>
      <c r="N658" t="s">
        <v>4275</v>
      </c>
      <c r="O658" t="s">
        <v>4281</v>
      </c>
      <c r="P658">
        <v>378.12</v>
      </c>
    </row>
    <row r="659" spans="1:16" x14ac:dyDescent="0.3">
      <c r="A659" t="s">
        <v>671</v>
      </c>
      <c r="B659" s="3">
        <v>45284</v>
      </c>
      <c r="C659" s="7" t="str">
        <f t="shared" si="20"/>
        <v>2023</v>
      </c>
      <c r="D659" s="7" t="str">
        <f t="shared" si="21"/>
        <v>Dec</v>
      </c>
      <c r="E659" s="6" t="s">
        <v>1870</v>
      </c>
      <c r="F659" s="5" t="s">
        <v>2405</v>
      </c>
      <c r="G659">
        <v>4</v>
      </c>
      <c r="H659">
        <v>87.79</v>
      </c>
      <c r="I659" s="6" t="s">
        <v>2685</v>
      </c>
      <c r="J659" s="6" t="s">
        <v>3069</v>
      </c>
      <c r="K659" s="6" t="s">
        <v>3071</v>
      </c>
      <c r="L659" t="s">
        <v>3732</v>
      </c>
      <c r="M659">
        <v>6</v>
      </c>
      <c r="N659" t="s">
        <v>4276</v>
      </c>
      <c r="O659" t="s">
        <v>4278</v>
      </c>
      <c r="P659">
        <v>351.16</v>
      </c>
    </row>
    <row r="660" spans="1:16" x14ac:dyDescent="0.3">
      <c r="A660" t="s">
        <v>672</v>
      </c>
      <c r="B660" s="3">
        <v>45765</v>
      </c>
      <c r="C660" s="7" t="str">
        <f t="shared" si="20"/>
        <v>2025</v>
      </c>
      <c r="D660" s="7" t="str">
        <f t="shared" si="21"/>
        <v>Apr</v>
      </c>
      <c r="E660" s="6" t="s">
        <v>1871</v>
      </c>
      <c r="F660" s="5" t="s">
        <v>2407</v>
      </c>
      <c r="G660">
        <v>2</v>
      </c>
      <c r="H660">
        <v>46.36</v>
      </c>
      <c r="I660" s="6" t="s">
        <v>2657</v>
      </c>
      <c r="J660" s="6" t="s">
        <v>3068</v>
      </c>
      <c r="K660" s="6" t="s">
        <v>3072</v>
      </c>
      <c r="L660" t="s">
        <v>3733</v>
      </c>
      <c r="M660">
        <v>4</v>
      </c>
      <c r="N660" t="s">
        <v>4275</v>
      </c>
      <c r="O660" t="s">
        <v>4282</v>
      </c>
      <c r="P660">
        <v>92.72</v>
      </c>
    </row>
    <row r="661" spans="1:16" x14ac:dyDescent="0.3">
      <c r="A661" t="s">
        <v>673</v>
      </c>
      <c r="B661" s="3">
        <v>45591</v>
      </c>
      <c r="C661" s="7" t="str">
        <f t="shared" si="20"/>
        <v>2024</v>
      </c>
      <c r="D661" s="7" t="str">
        <f t="shared" si="21"/>
        <v>Oct</v>
      </c>
      <c r="E661" s="6" t="s">
        <v>1872</v>
      </c>
      <c r="F661" s="5" t="s">
        <v>2404</v>
      </c>
      <c r="G661">
        <v>2</v>
      </c>
      <c r="H661">
        <v>642.04</v>
      </c>
      <c r="I661" s="6" t="s">
        <v>2813</v>
      </c>
      <c r="J661" s="6" t="s">
        <v>3068</v>
      </c>
      <c r="K661" s="6" t="s">
        <v>3073</v>
      </c>
      <c r="L661" t="s">
        <v>3734</v>
      </c>
      <c r="M661">
        <v>4</v>
      </c>
      <c r="N661" t="s">
        <v>4277</v>
      </c>
      <c r="O661" t="s">
        <v>4280</v>
      </c>
      <c r="P661">
        <v>1284.08</v>
      </c>
    </row>
    <row r="662" spans="1:16" x14ac:dyDescent="0.3">
      <c r="A662" t="s">
        <v>674</v>
      </c>
      <c r="B662" s="3">
        <v>45584</v>
      </c>
      <c r="C662" s="7" t="str">
        <f t="shared" si="20"/>
        <v>2024</v>
      </c>
      <c r="D662" s="7" t="str">
        <f t="shared" si="21"/>
        <v>Oct</v>
      </c>
      <c r="E662" s="6" t="s">
        <v>1873</v>
      </c>
      <c r="F662" s="5" t="s">
        <v>2406</v>
      </c>
      <c r="G662">
        <v>2</v>
      </c>
      <c r="H662">
        <v>651.57000000000005</v>
      </c>
      <c r="I662" s="6" t="s">
        <v>2543</v>
      </c>
      <c r="J662" s="6" t="s">
        <v>3065</v>
      </c>
      <c r="K662" s="6" t="s">
        <v>3070</v>
      </c>
      <c r="L662" t="s">
        <v>3735</v>
      </c>
      <c r="M662">
        <v>7</v>
      </c>
      <c r="N662" t="s">
        <v>4277</v>
      </c>
      <c r="O662" t="s">
        <v>4281</v>
      </c>
      <c r="P662">
        <v>1303.1400000000001</v>
      </c>
    </row>
    <row r="663" spans="1:16" x14ac:dyDescent="0.3">
      <c r="A663" t="s">
        <v>675</v>
      </c>
      <c r="B663" s="3">
        <v>45716</v>
      </c>
      <c r="C663" s="7" t="str">
        <f t="shared" si="20"/>
        <v>2025</v>
      </c>
      <c r="D663" s="7" t="str">
        <f t="shared" si="21"/>
        <v>Feb</v>
      </c>
      <c r="E663" s="6" t="s">
        <v>1874</v>
      </c>
      <c r="F663" s="5" t="s">
        <v>2405</v>
      </c>
      <c r="G663">
        <v>3</v>
      </c>
      <c r="H663">
        <v>424.89</v>
      </c>
      <c r="I663" s="6" t="s">
        <v>2863</v>
      </c>
      <c r="J663" s="6" t="s">
        <v>3065</v>
      </c>
      <c r="K663" s="6" t="s">
        <v>3071</v>
      </c>
      <c r="L663" t="s">
        <v>3736</v>
      </c>
      <c r="M663">
        <v>6</v>
      </c>
      <c r="N663" t="s">
        <v>4276</v>
      </c>
      <c r="O663" t="s">
        <v>4282</v>
      </c>
      <c r="P663">
        <v>1274.67</v>
      </c>
    </row>
    <row r="664" spans="1:16" x14ac:dyDescent="0.3">
      <c r="A664" t="s">
        <v>676</v>
      </c>
      <c r="B664" s="3">
        <v>44954</v>
      </c>
      <c r="C664" s="7" t="str">
        <f t="shared" si="20"/>
        <v>2023</v>
      </c>
      <c r="D664" s="7" t="str">
        <f t="shared" si="21"/>
        <v>Jan</v>
      </c>
      <c r="E664" s="6" t="s">
        <v>1875</v>
      </c>
      <c r="F664" s="5" t="s">
        <v>2408</v>
      </c>
      <c r="G664">
        <v>3</v>
      </c>
      <c r="H664">
        <v>438.89</v>
      </c>
      <c r="I664" s="6" t="s">
        <v>2864</v>
      </c>
      <c r="J664" s="6" t="s">
        <v>3069</v>
      </c>
      <c r="K664" s="6" t="s">
        <v>3072</v>
      </c>
      <c r="L664" t="s">
        <v>3737</v>
      </c>
      <c r="M664">
        <v>3</v>
      </c>
      <c r="N664" t="s">
        <v>4285</v>
      </c>
      <c r="O664" t="s">
        <v>4281</v>
      </c>
      <c r="P664">
        <v>1316.67</v>
      </c>
    </row>
    <row r="665" spans="1:16" x14ac:dyDescent="0.3">
      <c r="A665" t="s">
        <v>677</v>
      </c>
      <c r="B665" s="3">
        <v>45397</v>
      </c>
      <c r="C665" s="7" t="str">
        <f t="shared" si="20"/>
        <v>2024</v>
      </c>
      <c r="D665" s="7" t="str">
        <f t="shared" si="21"/>
        <v>Apr</v>
      </c>
      <c r="E665" s="6" t="s">
        <v>1876</v>
      </c>
      <c r="F665" s="5" t="s">
        <v>2403</v>
      </c>
      <c r="G665">
        <v>1</v>
      </c>
      <c r="H665">
        <v>72.599999999999994</v>
      </c>
      <c r="I665" s="6" t="s">
        <v>2800</v>
      </c>
      <c r="J665" s="6" t="s">
        <v>3065</v>
      </c>
      <c r="K665" s="6" t="s">
        <v>3071</v>
      </c>
      <c r="L665" t="s">
        <v>3738</v>
      </c>
      <c r="M665">
        <v>6</v>
      </c>
      <c r="N665" t="s">
        <v>4276</v>
      </c>
      <c r="O665" t="s">
        <v>4278</v>
      </c>
      <c r="P665">
        <v>72.599999999999994</v>
      </c>
    </row>
    <row r="666" spans="1:16" x14ac:dyDescent="0.3">
      <c r="A666" t="s">
        <v>678</v>
      </c>
      <c r="B666" s="3">
        <v>45645</v>
      </c>
      <c r="C666" s="7" t="str">
        <f t="shared" si="20"/>
        <v>2024</v>
      </c>
      <c r="D666" s="7" t="str">
        <f t="shared" si="21"/>
        <v>Dec</v>
      </c>
      <c r="E666" s="6" t="s">
        <v>1450</v>
      </c>
      <c r="F666" s="5" t="s">
        <v>2408</v>
      </c>
      <c r="G666">
        <v>4</v>
      </c>
      <c r="H666">
        <v>194.75</v>
      </c>
      <c r="I666" s="6" t="s">
        <v>2865</v>
      </c>
      <c r="J666" s="6" t="s">
        <v>3069</v>
      </c>
      <c r="K666" s="6" t="s">
        <v>3070</v>
      </c>
      <c r="L666" t="s">
        <v>3739</v>
      </c>
      <c r="M666">
        <v>5</v>
      </c>
      <c r="N666" t="s">
        <v>4285</v>
      </c>
      <c r="O666" t="s">
        <v>4281</v>
      </c>
      <c r="P666">
        <v>779</v>
      </c>
    </row>
    <row r="667" spans="1:16" x14ac:dyDescent="0.3">
      <c r="A667" t="s">
        <v>679</v>
      </c>
      <c r="B667" s="3">
        <v>45048</v>
      </c>
      <c r="C667" s="7" t="str">
        <f t="shared" si="20"/>
        <v>2023</v>
      </c>
      <c r="D667" s="7" t="str">
        <f t="shared" si="21"/>
        <v>May</v>
      </c>
      <c r="E667" s="6" t="s">
        <v>1877</v>
      </c>
      <c r="F667" s="5" t="s">
        <v>2405</v>
      </c>
      <c r="G667">
        <v>4</v>
      </c>
      <c r="H667">
        <v>231.26</v>
      </c>
      <c r="I667" s="6" t="s">
        <v>2866</v>
      </c>
      <c r="J667" s="6" t="s">
        <v>3066</v>
      </c>
      <c r="K667" s="6" t="s">
        <v>3070</v>
      </c>
      <c r="L667" t="s">
        <v>3740</v>
      </c>
      <c r="M667">
        <v>6</v>
      </c>
      <c r="N667" t="s">
        <v>4277</v>
      </c>
      <c r="O667" t="s">
        <v>4282</v>
      </c>
      <c r="P667">
        <v>925.04</v>
      </c>
    </row>
    <row r="668" spans="1:16" x14ac:dyDescent="0.3">
      <c r="A668" t="s">
        <v>680</v>
      </c>
      <c r="B668" s="3">
        <v>45535</v>
      </c>
      <c r="C668" s="7" t="str">
        <f t="shared" si="20"/>
        <v>2024</v>
      </c>
      <c r="D668" s="7" t="str">
        <f t="shared" si="21"/>
        <v>Aug</v>
      </c>
      <c r="E668" s="6" t="s">
        <v>1878</v>
      </c>
      <c r="F668" s="5" t="s">
        <v>2403</v>
      </c>
      <c r="G668">
        <v>4</v>
      </c>
      <c r="H668">
        <v>327.12</v>
      </c>
      <c r="I668" s="6" t="s">
        <v>2840</v>
      </c>
      <c r="J668" s="6" t="s">
        <v>3067</v>
      </c>
      <c r="K668" s="6" t="s">
        <v>3071</v>
      </c>
      <c r="L668" t="s">
        <v>3741</v>
      </c>
      <c r="M668">
        <v>4</v>
      </c>
      <c r="N668" t="s">
        <v>4285</v>
      </c>
      <c r="O668" t="s">
        <v>4280</v>
      </c>
      <c r="P668">
        <v>1308.48</v>
      </c>
    </row>
    <row r="669" spans="1:16" x14ac:dyDescent="0.3">
      <c r="A669" t="s">
        <v>681</v>
      </c>
      <c r="B669" s="3">
        <v>45049</v>
      </c>
      <c r="C669" s="7" t="str">
        <f t="shared" si="20"/>
        <v>2023</v>
      </c>
      <c r="D669" s="7" t="str">
        <f t="shared" si="21"/>
        <v>May</v>
      </c>
      <c r="E669" s="6" t="s">
        <v>1879</v>
      </c>
      <c r="F669" s="5" t="s">
        <v>2408</v>
      </c>
      <c r="G669">
        <v>1</v>
      </c>
      <c r="H669">
        <v>466.42</v>
      </c>
      <c r="I669" s="6" t="s">
        <v>2590</v>
      </c>
      <c r="J669" s="6" t="s">
        <v>3068</v>
      </c>
      <c r="K669" s="6" t="s">
        <v>3074</v>
      </c>
      <c r="L669" t="s">
        <v>3742</v>
      </c>
      <c r="M669">
        <v>5</v>
      </c>
      <c r="N669" t="s">
        <v>4275</v>
      </c>
      <c r="O669" t="s">
        <v>4280</v>
      </c>
      <c r="P669">
        <v>466.42</v>
      </c>
    </row>
    <row r="670" spans="1:16" x14ac:dyDescent="0.3">
      <c r="A670" t="s">
        <v>682</v>
      </c>
      <c r="B670" s="3">
        <v>45478</v>
      </c>
      <c r="C670" s="7" t="str">
        <f t="shared" si="20"/>
        <v>2024</v>
      </c>
      <c r="D670" s="7" t="str">
        <f t="shared" si="21"/>
        <v>Jul</v>
      </c>
      <c r="E670" s="6" t="s">
        <v>1880</v>
      </c>
      <c r="F670" s="5" t="s">
        <v>2403</v>
      </c>
      <c r="G670">
        <v>2</v>
      </c>
      <c r="H670">
        <v>253.67</v>
      </c>
      <c r="I670" s="6" t="s">
        <v>2549</v>
      </c>
      <c r="J670" s="6" t="s">
        <v>3069</v>
      </c>
      <c r="K670" s="6" t="s">
        <v>3072</v>
      </c>
      <c r="L670" t="s">
        <v>3743</v>
      </c>
      <c r="M670">
        <v>3</v>
      </c>
      <c r="N670" t="s">
        <v>4277</v>
      </c>
      <c r="O670" t="s">
        <v>4281</v>
      </c>
      <c r="P670">
        <v>507.34</v>
      </c>
    </row>
    <row r="671" spans="1:16" x14ac:dyDescent="0.3">
      <c r="A671" t="s">
        <v>683</v>
      </c>
      <c r="B671" s="3">
        <v>44962</v>
      </c>
      <c r="C671" s="7" t="str">
        <f t="shared" si="20"/>
        <v>2023</v>
      </c>
      <c r="D671" s="7" t="str">
        <f t="shared" si="21"/>
        <v>Feb</v>
      </c>
      <c r="E671" s="6" t="s">
        <v>1881</v>
      </c>
      <c r="F671" s="5" t="s">
        <v>2409</v>
      </c>
      <c r="G671">
        <v>1</v>
      </c>
      <c r="H671">
        <v>257</v>
      </c>
      <c r="I671" s="6" t="s">
        <v>2867</v>
      </c>
      <c r="J671" s="6" t="s">
        <v>3065</v>
      </c>
      <c r="K671" s="6" t="s">
        <v>3071</v>
      </c>
      <c r="L671" t="s">
        <v>3744</v>
      </c>
      <c r="M671">
        <v>5</v>
      </c>
      <c r="N671" t="s">
        <v>4285</v>
      </c>
      <c r="O671" t="s">
        <v>4279</v>
      </c>
      <c r="P671">
        <v>257</v>
      </c>
    </row>
    <row r="672" spans="1:16" x14ac:dyDescent="0.3">
      <c r="A672" t="s">
        <v>684</v>
      </c>
      <c r="B672" s="3">
        <v>45400</v>
      </c>
      <c r="C672" s="7" t="str">
        <f t="shared" si="20"/>
        <v>2024</v>
      </c>
      <c r="D672" s="7" t="str">
        <f t="shared" si="21"/>
        <v>Apr</v>
      </c>
      <c r="E672" s="6" t="s">
        <v>1882</v>
      </c>
      <c r="F672" s="5" t="s">
        <v>2409</v>
      </c>
      <c r="G672">
        <v>4</v>
      </c>
      <c r="H672">
        <v>539.20000000000005</v>
      </c>
      <c r="I672" s="6" t="s">
        <v>2710</v>
      </c>
      <c r="J672" s="6" t="s">
        <v>3067</v>
      </c>
      <c r="K672" s="6" t="s">
        <v>3074</v>
      </c>
      <c r="L672" t="s">
        <v>3745</v>
      </c>
      <c r="M672">
        <v>8</v>
      </c>
      <c r="N672" t="s">
        <v>4276</v>
      </c>
      <c r="O672" t="s">
        <v>4282</v>
      </c>
      <c r="P672">
        <v>2156.8000000000002</v>
      </c>
    </row>
    <row r="673" spans="1:16" x14ac:dyDescent="0.3">
      <c r="A673" t="s">
        <v>685</v>
      </c>
      <c r="B673" s="3">
        <v>45092</v>
      </c>
      <c r="C673" s="7" t="str">
        <f t="shared" si="20"/>
        <v>2023</v>
      </c>
      <c r="D673" s="7" t="str">
        <f t="shared" si="21"/>
        <v>Jun</v>
      </c>
      <c r="E673" s="6" t="s">
        <v>1883</v>
      </c>
      <c r="F673" s="5" t="s">
        <v>2406</v>
      </c>
      <c r="G673">
        <v>5</v>
      </c>
      <c r="H673">
        <v>50.74</v>
      </c>
      <c r="I673" s="6" t="s">
        <v>2554</v>
      </c>
      <c r="J673" s="6" t="s">
        <v>3068</v>
      </c>
      <c r="K673" s="6" t="s">
        <v>3071</v>
      </c>
      <c r="L673" t="s">
        <v>3746</v>
      </c>
      <c r="M673">
        <v>7</v>
      </c>
      <c r="N673" t="s">
        <v>4277</v>
      </c>
      <c r="O673" t="s">
        <v>4282</v>
      </c>
      <c r="P673">
        <v>253.7</v>
      </c>
    </row>
    <row r="674" spans="1:16" x14ac:dyDescent="0.3">
      <c r="A674" t="s">
        <v>686</v>
      </c>
      <c r="B674" s="3">
        <v>45055</v>
      </c>
      <c r="C674" s="7" t="str">
        <f t="shared" si="20"/>
        <v>2023</v>
      </c>
      <c r="D674" s="7" t="str">
        <f t="shared" si="21"/>
        <v>May</v>
      </c>
      <c r="E674" s="6" t="s">
        <v>1884</v>
      </c>
      <c r="F674" s="5" t="s">
        <v>2404</v>
      </c>
      <c r="G674">
        <v>2</v>
      </c>
      <c r="H674">
        <v>624.16</v>
      </c>
      <c r="I674" s="6" t="s">
        <v>2843</v>
      </c>
      <c r="J674" s="6" t="s">
        <v>3065</v>
      </c>
      <c r="K674" s="6" t="s">
        <v>3070</v>
      </c>
      <c r="L674" t="s">
        <v>3747</v>
      </c>
      <c r="M674">
        <v>2</v>
      </c>
      <c r="N674" t="s">
        <v>4275</v>
      </c>
      <c r="O674" t="s">
        <v>4278</v>
      </c>
      <c r="P674">
        <v>1248.32</v>
      </c>
    </row>
    <row r="675" spans="1:16" x14ac:dyDescent="0.3">
      <c r="A675" t="s">
        <v>687</v>
      </c>
      <c r="B675" s="3">
        <v>44978</v>
      </c>
      <c r="C675" s="7" t="str">
        <f t="shared" si="20"/>
        <v>2023</v>
      </c>
      <c r="D675" s="7" t="str">
        <f t="shared" si="21"/>
        <v>Feb</v>
      </c>
      <c r="E675" s="6" t="s">
        <v>1885</v>
      </c>
      <c r="F675" s="5" t="s">
        <v>2405</v>
      </c>
      <c r="G675">
        <v>2</v>
      </c>
      <c r="H675">
        <v>372.92</v>
      </c>
      <c r="I675" s="6" t="s">
        <v>2512</v>
      </c>
      <c r="J675" s="6" t="s">
        <v>3067</v>
      </c>
      <c r="K675" s="6" t="s">
        <v>3073</v>
      </c>
      <c r="L675" t="s">
        <v>3748</v>
      </c>
      <c r="M675">
        <v>7</v>
      </c>
      <c r="N675" t="s">
        <v>4275</v>
      </c>
      <c r="O675" t="s">
        <v>4280</v>
      </c>
      <c r="P675">
        <v>745.84</v>
      </c>
    </row>
    <row r="676" spans="1:16" x14ac:dyDescent="0.3">
      <c r="A676" t="s">
        <v>688</v>
      </c>
      <c r="B676" s="3">
        <v>45300</v>
      </c>
      <c r="C676" s="7" t="str">
        <f t="shared" si="20"/>
        <v>2024</v>
      </c>
      <c r="D676" s="7" t="str">
        <f t="shared" si="21"/>
        <v>Jan</v>
      </c>
      <c r="E676" s="6" t="s">
        <v>1886</v>
      </c>
      <c r="F676" s="5" t="s">
        <v>2408</v>
      </c>
      <c r="G676">
        <v>4</v>
      </c>
      <c r="H676">
        <v>358.75</v>
      </c>
      <c r="I676" s="6" t="s">
        <v>2868</v>
      </c>
      <c r="J676" s="6" t="s">
        <v>3068</v>
      </c>
      <c r="K676" s="6" t="s">
        <v>3073</v>
      </c>
      <c r="L676" t="s">
        <v>3749</v>
      </c>
      <c r="M676">
        <v>9</v>
      </c>
      <c r="N676" t="s">
        <v>4275</v>
      </c>
      <c r="O676" t="s">
        <v>4281</v>
      </c>
      <c r="P676">
        <v>1435</v>
      </c>
    </row>
    <row r="677" spans="1:16" x14ac:dyDescent="0.3">
      <c r="A677" t="s">
        <v>689</v>
      </c>
      <c r="B677" s="3">
        <v>45510</v>
      </c>
      <c r="C677" s="7" t="str">
        <f t="shared" si="20"/>
        <v>2024</v>
      </c>
      <c r="D677" s="7" t="str">
        <f t="shared" si="21"/>
        <v>Aug</v>
      </c>
      <c r="E677" s="6" t="s">
        <v>1887</v>
      </c>
      <c r="F677" s="5" t="s">
        <v>2409</v>
      </c>
      <c r="G677">
        <v>3</v>
      </c>
      <c r="H677">
        <v>342.02</v>
      </c>
      <c r="I677" s="6" t="s">
        <v>2807</v>
      </c>
      <c r="J677" s="6" t="s">
        <v>3065</v>
      </c>
      <c r="K677" s="6" t="s">
        <v>3074</v>
      </c>
      <c r="L677" t="s">
        <v>3750</v>
      </c>
      <c r="M677">
        <v>5</v>
      </c>
      <c r="N677" t="s">
        <v>4285</v>
      </c>
      <c r="O677" t="s">
        <v>4280</v>
      </c>
      <c r="P677">
        <v>1026.06</v>
      </c>
    </row>
    <row r="678" spans="1:16" x14ac:dyDescent="0.3">
      <c r="A678" t="s">
        <v>690</v>
      </c>
      <c r="B678" s="3">
        <v>45831</v>
      </c>
      <c r="C678" s="7" t="str">
        <f t="shared" si="20"/>
        <v>2025</v>
      </c>
      <c r="D678" s="7" t="str">
        <f t="shared" si="21"/>
        <v>Jun</v>
      </c>
      <c r="E678" s="6" t="s">
        <v>1888</v>
      </c>
      <c r="F678" s="5" t="s">
        <v>2408</v>
      </c>
      <c r="G678">
        <v>2</v>
      </c>
      <c r="H678">
        <v>422.34</v>
      </c>
      <c r="I678" s="6" t="s">
        <v>2864</v>
      </c>
      <c r="J678" s="6" t="s">
        <v>3067</v>
      </c>
      <c r="K678" s="6" t="s">
        <v>3071</v>
      </c>
      <c r="L678" t="s">
        <v>3751</v>
      </c>
      <c r="M678">
        <v>4</v>
      </c>
      <c r="N678" t="s">
        <v>4276</v>
      </c>
      <c r="O678" t="s">
        <v>4278</v>
      </c>
      <c r="P678">
        <v>844.68</v>
      </c>
    </row>
    <row r="679" spans="1:16" x14ac:dyDescent="0.3">
      <c r="A679" t="s">
        <v>691</v>
      </c>
      <c r="B679" s="3">
        <v>45750</v>
      </c>
      <c r="C679" s="7" t="str">
        <f t="shared" si="20"/>
        <v>2025</v>
      </c>
      <c r="D679" s="7" t="str">
        <f t="shared" si="21"/>
        <v>Apr</v>
      </c>
      <c r="E679" s="6" t="s">
        <v>1889</v>
      </c>
      <c r="F679" s="5" t="s">
        <v>2405</v>
      </c>
      <c r="G679">
        <v>5</v>
      </c>
      <c r="H679">
        <v>22.07</v>
      </c>
      <c r="I679" s="6" t="s">
        <v>2422</v>
      </c>
      <c r="J679" s="6" t="s">
        <v>3066</v>
      </c>
      <c r="K679" s="6" t="s">
        <v>3071</v>
      </c>
      <c r="L679" t="s">
        <v>3752</v>
      </c>
      <c r="M679">
        <v>7</v>
      </c>
      <c r="N679" t="s">
        <v>4276</v>
      </c>
      <c r="O679" t="s">
        <v>4278</v>
      </c>
      <c r="P679">
        <v>110.35</v>
      </c>
    </row>
    <row r="680" spans="1:16" x14ac:dyDescent="0.3">
      <c r="A680" t="s">
        <v>692</v>
      </c>
      <c r="B680" s="3">
        <v>45620</v>
      </c>
      <c r="C680" s="7" t="str">
        <f t="shared" si="20"/>
        <v>2024</v>
      </c>
      <c r="D680" s="7" t="str">
        <f t="shared" si="21"/>
        <v>Nov</v>
      </c>
      <c r="E680" s="6" t="s">
        <v>1890</v>
      </c>
      <c r="F680" s="5" t="s">
        <v>2406</v>
      </c>
      <c r="G680">
        <v>3</v>
      </c>
      <c r="H680">
        <v>163.13</v>
      </c>
      <c r="I680" s="6" t="s">
        <v>2600</v>
      </c>
      <c r="J680" s="6" t="s">
        <v>3068</v>
      </c>
      <c r="K680" s="6" t="s">
        <v>3070</v>
      </c>
      <c r="L680" t="s">
        <v>3753</v>
      </c>
      <c r="M680">
        <v>5</v>
      </c>
      <c r="N680" t="s">
        <v>4277</v>
      </c>
      <c r="O680" t="s">
        <v>4281</v>
      </c>
      <c r="P680">
        <v>489.39</v>
      </c>
    </row>
    <row r="681" spans="1:16" x14ac:dyDescent="0.3">
      <c r="A681" t="s">
        <v>693</v>
      </c>
      <c r="B681" s="3">
        <v>44959</v>
      </c>
      <c r="C681" s="7" t="str">
        <f t="shared" si="20"/>
        <v>2023</v>
      </c>
      <c r="D681" s="7" t="str">
        <f t="shared" si="21"/>
        <v>Feb</v>
      </c>
      <c r="E681" s="6" t="s">
        <v>1891</v>
      </c>
      <c r="F681" s="5" t="s">
        <v>2405</v>
      </c>
      <c r="G681">
        <v>3</v>
      </c>
      <c r="H681">
        <v>360.66</v>
      </c>
      <c r="I681" s="6" t="s">
        <v>2733</v>
      </c>
      <c r="J681" s="6" t="s">
        <v>3066</v>
      </c>
      <c r="K681" s="6" t="s">
        <v>3072</v>
      </c>
      <c r="L681" t="s">
        <v>3754</v>
      </c>
      <c r="M681">
        <v>5</v>
      </c>
      <c r="N681" t="s">
        <v>4276</v>
      </c>
      <c r="O681" t="s">
        <v>4278</v>
      </c>
      <c r="P681">
        <v>1081.98</v>
      </c>
    </row>
    <row r="682" spans="1:16" x14ac:dyDescent="0.3">
      <c r="A682" t="s">
        <v>694</v>
      </c>
      <c r="B682" s="3">
        <v>45165</v>
      </c>
      <c r="C682" s="7" t="str">
        <f t="shared" si="20"/>
        <v>2023</v>
      </c>
      <c r="D682" s="7" t="str">
        <f t="shared" si="21"/>
        <v>Aug</v>
      </c>
      <c r="E682" s="6" t="s">
        <v>1892</v>
      </c>
      <c r="F682" s="5" t="s">
        <v>2403</v>
      </c>
      <c r="G682">
        <v>3</v>
      </c>
      <c r="H682">
        <v>463.39</v>
      </c>
      <c r="I682" s="6" t="s">
        <v>2869</v>
      </c>
      <c r="J682" s="6" t="s">
        <v>3067</v>
      </c>
      <c r="K682" s="6" t="s">
        <v>3072</v>
      </c>
      <c r="L682" t="s">
        <v>3755</v>
      </c>
      <c r="M682">
        <v>3</v>
      </c>
      <c r="N682" t="s">
        <v>4285</v>
      </c>
      <c r="O682" t="s">
        <v>4281</v>
      </c>
      <c r="P682">
        <v>1390.17</v>
      </c>
    </row>
    <row r="683" spans="1:16" x14ac:dyDescent="0.3">
      <c r="A683" t="s">
        <v>695</v>
      </c>
      <c r="B683" s="3">
        <v>45321</v>
      </c>
      <c r="C683" s="7" t="str">
        <f t="shared" si="20"/>
        <v>2024</v>
      </c>
      <c r="D683" s="7" t="str">
        <f t="shared" si="21"/>
        <v>Jan</v>
      </c>
      <c r="E683" s="6" t="s">
        <v>1893</v>
      </c>
      <c r="F683" s="5" t="s">
        <v>2405</v>
      </c>
      <c r="G683">
        <v>1</v>
      </c>
      <c r="H683">
        <v>155.27000000000001</v>
      </c>
      <c r="I683" s="6" t="s">
        <v>2870</v>
      </c>
      <c r="J683" s="6" t="s">
        <v>3065</v>
      </c>
      <c r="K683" s="6" t="s">
        <v>3070</v>
      </c>
      <c r="L683" t="s">
        <v>3756</v>
      </c>
      <c r="M683">
        <v>6</v>
      </c>
      <c r="N683" t="s">
        <v>4285</v>
      </c>
      <c r="O683" t="s">
        <v>4280</v>
      </c>
      <c r="P683">
        <v>155.27000000000001</v>
      </c>
    </row>
    <row r="684" spans="1:16" x14ac:dyDescent="0.3">
      <c r="A684" t="s">
        <v>696</v>
      </c>
      <c r="B684" s="3">
        <v>45130</v>
      </c>
      <c r="C684" s="7" t="str">
        <f t="shared" si="20"/>
        <v>2023</v>
      </c>
      <c r="D684" s="7" t="str">
        <f t="shared" si="21"/>
        <v>Jul</v>
      </c>
      <c r="E684" s="6" t="s">
        <v>1894</v>
      </c>
      <c r="F684" s="5" t="s">
        <v>2403</v>
      </c>
      <c r="G684">
        <v>3</v>
      </c>
      <c r="H684">
        <v>509.42</v>
      </c>
      <c r="I684" s="6" t="s">
        <v>2777</v>
      </c>
      <c r="J684" s="6" t="s">
        <v>3067</v>
      </c>
      <c r="K684" s="6" t="s">
        <v>3071</v>
      </c>
      <c r="L684" t="s">
        <v>3757</v>
      </c>
      <c r="M684">
        <v>5</v>
      </c>
      <c r="N684" t="s">
        <v>4276</v>
      </c>
      <c r="O684" t="s">
        <v>4282</v>
      </c>
      <c r="P684">
        <v>1528.26</v>
      </c>
    </row>
    <row r="685" spans="1:16" x14ac:dyDescent="0.3">
      <c r="A685" t="s">
        <v>697</v>
      </c>
      <c r="B685" s="3">
        <v>45795</v>
      </c>
      <c r="C685" s="7" t="str">
        <f t="shared" si="20"/>
        <v>2025</v>
      </c>
      <c r="D685" s="7" t="str">
        <f t="shared" si="21"/>
        <v>May</v>
      </c>
      <c r="E685" s="6" t="s">
        <v>1895</v>
      </c>
      <c r="F685" s="5" t="s">
        <v>2409</v>
      </c>
      <c r="G685">
        <v>4</v>
      </c>
      <c r="H685">
        <v>652.48</v>
      </c>
      <c r="I685" s="6" t="s">
        <v>2871</v>
      </c>
      <c r="J685" s="6" t="s">
        <v>3069</v>
      </c>
      <c r="K685" s="6" t="s">
        <v>3074</v>
      </c>
      <c r="L685" t="s">
        <v>3758</v>
      </c>
      <c r="M685">
        <v>5</v>
      </c>
      <c r="N685" t="s">
        <v>4276</v>
      </c>
      <c r="O685" t="s">
        <v>4278</v>
      </c>
      <c r="P685">
        <v>2609.92</v>
      </c>
    </row>
    <row r="686" spans="1:16" x14ac:dyDescent="0.3">
      <c r="A686" t="s">
        <v>698</v>
      </c>
      <c r="B686" s="3">
        <v>45557</v>
      </c>
      <c r="C686" s="7" t="str">
        <f t="shared" si="20"/>
        <v>2024</v>
      </c>
      <c r="D686" s="7" t="str">
        <f t="shared" si="21"/>
        <v>Sept</v>
      </c>
      <c r="E686" s="6" t="s">
        <v>1896</v>
      </c>
      <c r="F686" s="5" t="s">
        <v>2407</v>
      </c>
      <c r="G686">
        <v>4</v>
      </c>
      <c r="H686">
        <v>34.840000000000003</v>
      </c>
      <c r="I686" s="6" t="s">
        <v>2872</v>
      </c>
      <c r="J686" s="6" t="s">
        <v>3067</v>
      </c>
      <c r="K686" s="6" t="s">
        <v>3070</v>
      </c>
      <c r="L686" t="s">
        <v>3759</v>
      </c>
      <c r="M686">
        <v>8</v>
      </c>
      <c r="N686" t="s">
        <v>4285</v>
      </c>
      <c r="O686" t="s">
        <v>4280</v>
      </c>
      <c r="P686">
        <v>139.36000000000001</v>
      </c>
    </row>
    <row r="687" spans="1:16" x14ac:dyDescent="0.3">
      <c r="A687" t="s">
        <v>699</v>
      </c>
      <c r="B687" s="3">
        <v>45695</v>
      </c>
      <c r="C687" s="7" t="str">
        <f t="shared" si="20"/>
        <v>2025</v>
      </c>
      <c r="D687" s="7" t="str">
        <f t="shared" si="21"/>
        <v>Feb</v>
      </c>
      <c r="E687" s="6" t="s">
        <v>1897</v>
      </c>
      <c r="F687" s="5" t="s">
        <v>2409</v>
      </c>
      <c r="G687">
        <v>1</v>
      </c>
      <c r="H687">
        <v>234.37</v>
      </c>
      <c r="I687" s="6" t="s">
        <v>2873</v>
      </c>
      <c r="J687" s="6" t="s">
        <v>3065</v>
      </c>
      <c r="K687" s="6" t="s">
        <v>3070</v>
      </c>
      <c r="L687" t="s">
        <v>3760</v>
      </c>
      <c r="M687">
        <v>5</v>
      </c>
      <c r="N687" t="s">
        <v>4276</v>
      </c>
      <c r="O687" t="s">
        <v>4280</v>
      </c>
      <c r="P687">
        <v>234.37</v>
      </c>
    </row>
    <row r="688" spans="1:16" x14ac:dyDescent="0.3">
      <c r="A688" t="s">
        <v>700</v>
      </c>
      <c r="B688" s="3">
        <v>45208</v>
      </c>
      <c r="C688" s="7" t="str">
        <f t="shared" si="20"/>
        <v>2023</v>
      </c>
      <c r="D688" s="7" t="str">
        <f t="shared" si="21"/>
        <v>Oct</v>
      </c>
      <c r="E688" s="6" t="s">
        <v>1898</v>
      </c>
      <c r="F688" s="5" t="s">
        <v>2409</v>
      </c>
      <c r="G688">
        <v>3</v>
      </c>
      <c r="H688">
        <v>53.6</v>
      </c>
      <c r="I688" s="6" t="s">
        <v>2874</v>
      </c>
      <c r="J688" s="6" t="s">
        <v>3069</v>
      </c>
      <c r="K688" s="6" t="s">
        <v>3074</v>
      </c>
      <c r="L688" t="s">
        <v>3761</v>
      </c>
      <c r="M688">
        <v>4</v>
      </c>
      <c r="N688" t="s">
        <v>4277</v>
      </c>
      <c r="O688" t="s">
        <v>4281</v>
      </c>
      <c r="P688">
        <v>160.80000000000001</v>
      </c>
    </row>
    <row r="689" spans="1:16" x14ac:dyDescent="0.3">
      <c r="A689" t="s">
        <v>701</v>
      </c>
      <c r="B689" s="3">
        <v>45182</v>
      </c>
      <c r="C689" s="7" t="str">
        <f t="shared" si="20"/>
        <v>2023</v>
      </c>
      <c r="D689" s="7" t="str">
        <f t="shared" si="21"/>
        <v>Sept</v>
      </c>
      <c r="E689" s="6" t="s">
        <v>1899</v>
      </c>
      <c r="F689" s="5" t="s">
        <v>2405</v>
      </c>
      <c r="G689">
        <v>1</v>
      </c>
      <c r="H689">
        <v>332.09</v>
      </c>
      <c r="I689" s="6" t="s">
        <v>2875</v>
      </c>
      <c r="J689" s="6" t="s">
        <v>3068</v>
      </c>
      <c r="K689" s="6" t="s">
        <v>3072</v>
      </c>
      <c r="L689" t="s">
        <v>3762</v>
      </c>
      <c r="M689">
        <v>5</v>
      </c>
      <c r="N689" t="s">
        <v>4276</v>
      </c>
      <c r="O689" t="s">
        <v>4278</v>
      </c>
      <c r="P689">
        <v>332.09</v>
      </c>
    </row>
    <row r="690" spans="1:16" x14ac:dyDescent="0.3">
      <c r="A690" t="s">
        <v>702</v>
      </c>
      <c r="B690" s="3">
        <v>45357</v>
      </c>
      <c r="C690" s="7" t="str">
        <f t="shared" si="20"/>
        <v>2024</v>
      </c>
      <c r="D690" s="7" t="str">
        <f t="shared" si="21"/>
        <v>Mar</v>
      </c>
      <c r="E690" s="6" t="s">
        <v>1900</v>
      </c>
      <c r="F690" s="5" t="s">
        <v>2403</v>
      </c>
      <c r="G690">
        <v>4</v>
      </c>
      <c r="H690">
        <v>593.22</v>
      </c>
      <c r="I690" s="6" t="s">
        <v>2842</v>
      </c>
      <c r="J690" s="6" t="s">
        <v>3067</v>
      </c>
      <c r="K690" s="6" t="s">
        <v>3071</v>
      </c>
      <c r="L690" t="s">
        <v>3763</v>
      </c>
      <c r="M690">
        <v>8</v>
      </c>
      <c r="N690" t="s">
        <v>4277</v>
      </c>
      <c r="O690" t="s">
        <v>4281</v>
      </c>
      <c r="P690">
        <v>2372.88</v>
      </c>
    </row>
    <row r="691" spans="1:16" x14ac:dyDescent="0.3">
      <c r="A691" t="s">
        <v>703</v>
      </c>
      <c r="B691" s="3">
        <v>45167</v>
      </c>
      <c r="C691" s="7" t="str">
        <f t="shared" si="20"/>
        <v>2023</v>
      </c>
      <c r="D691" s="7" t="str">
        <f t="shared" si="21"/>
        <v>Aug</v>
      </c>
      <c r="E691" s="6" t="s">
        <v>1901</v>
      </c>
      <c r="F691" s="5" t="s">
        <v>2405</v>
      </c>
      <c r="G691">
        <v>2</v>
      </c>
      <c r="H691">
        <v>444.84</v>
      </c>
      <c r="I691" s="6" t="s">
        <v>2876</v>
      </c>
      <c r="J691" s="6" t="s">
        <v>3066</v>
      </c>
      <c r="K691" s="6" t="s">
        <v>3070</v>
      </c>
      <c r="L691" t="s">
        <v>3764</v>
      </c>
      <c r="M691">
        <v>7</v>
      </c>
      <c r="N691" t="s">
        <v>4285</v>
      </c>
      <c r="O691" t="s">
        <v>4281</v>
      </c>
      <c r="P691">
        <v>889.68</v>
      </c>
    </row>
    <row r="692" spans="1:16" x14ac:dyDescent="0.3">
      <c r="A692" t="s">
        <v>704</v>
      </c>
      <c r="B692" s="3">
        <v>45485</v>
      </c>
      <c r="C692" s="7" t="str">
        <f t="shared" si="20"/>
        <v>2024</v>
      </c>
      <c r="D692" s="7" t="str">
        <f t="shared" si="21"/>
        <v>Jul</v>
      </c>
      <c r="E692" s="6" t="s">
        <v>1902</v>
      </c>
      <c r="F692" s="5" t="s">
        <v>2403</v>
      </c>
      <c r="G692">
        <v>1</v>
      </c>
      <c r="H692">
        <v>24.48</v>
      </c>
      <c r="I692" s="6" t="s">
        <v>2445</v>
      </c>
      <c r="J692" s="6" t="s">
        <v>3068</v>
      </c>
      <c r="K692" s="6" t="s">
        <v>3072</v>
      </c>
      <c r="L692" t="s">
        <v>3765</v>
      </c>
      <c r="M692">
        <v>1</v>
      </c>
      <c r="N692" t="s">
        <v>4285</v>
      </c>
      <c r="O692" t="s">
        <v>4278</v>
      </c>
      <c r="P692">
        <v>24.48</v>
      </c>
    </row>
    <row r="693" spans="1:16" x14ac:dyDescent="0.3">
      <c r="A693" t="s">
        <v>705</v>
      </c>
      <c r="B693" s="3">
        <v>45620</v>
      </c>
      <c r="C693" s="7" t="str">
        <f t="shared" si="20"/>
        <v>2024</v>
      </c>
      <c r="D693" s="7" t="str">
        <f t="shared" si="21"/>
        <v>Nov</v>
      </c>
      <c r="E693" s="6" t="s">
        <v>1903</v>
      </c>
      <c r="F693" s="5" t="s">
        <v>2408</v>
      </c>
      <c r="G693">
        <v>3</v>
      </c>
      <c r="H693">
        <v>239.08</v>
      </c>
      <c r="I693" s="6" t="s">
        <v>2877</v>
      </c>
      <c r="J693" s="6" t="s">
        <v>3069</v>
      </c>
      <c r="K693" s="6" t="s">
        <v>3070</v>
      </c>
      <c r="L693" t="s">
        <v>3766</v>
      </c>
      <c r="M693">
        <v>8</v>
      </c>
      <c r="N693" t="s">
        <v>4285</v>
      </c>
      <c r="O693" t="s">
        <v>4282</v>
      </c>
      <c r="P693">
        <v>717.24</v>
      </c>
    </row>
    <row r="694" spans="1:16" x14ac:dyDescent="0.3">
      <c r="A694" t="s">
        <v>706</v>
      </c>
      <c r="B694" s="3">
        <v>44949</v>
      </c>
      <c r="C694" s="7" t="str">
        <f t="shared" si="20"/>
        <v>2023</v>
      </c>
      <c r="D694" s="7" t="str">
        <f t="shared" si="21"/>
        <v>Jan</v>
      </c>
      <c r="E694" s="6" t="s">
        <v>1904</v>
      </c>
      <c r="F694" s="5" t="s">
        <v>2409</v>
      </c>
      <c r="G694">
        <v>5</v>
      </c>
      <c r="H694">
        <v>196.84</v>
      </c>
      <c r="I694" s="6" t="s">
        <v>2732</v>
      </c>
      <c r="J694" s="6" t="s">
        <v>3067</v>
      </c>
      <c r="K694" s="6" t="s">
        <v>3073</v>
      </c>
      <c r="L694" t="s">
        <v>3767</v>
      </c>
      <c r="M694">
        <v>5</v>
      </c>
      <c r="N694" t="s">
        <v>4277</v>
      </c>
      <c r="O694" t="s">
        <v>4278</v>
      </c>
      <c r="P694">
        <v>984.2</v>
      </c>
    </row>
    <row r="695" spans="1:16" x14ac:dyDescent="0.3">
      <c r="A695" t="s">
        <v>707</v>
      </c>
      <c r="B695" s="3">
        <v>45728</v>
      </c>
      <c r="C695" s="7" t="str">
        <f t="shared" si="20"/>
        <v>2025</v>
      </c>
      <c r="D695" s="7" t="str">
        <f t="shared" si="21"/>
        <v>Mar</v>
      </c>
      <c r="E695" s="6" t="s">
        <v>1905</v>
      </c>
      <c r="F695" s="5" t="s">
        <v>2403</v>
      </c>
      <c r="G695">
        <v>1</v>
      </c>
      <c r="H695">
        <v>176.58</v>
      </c>
      <c r="I695" s="6" t="s">
        <v>2878</v>
      </c>
      <c r="J695" s="6" t="s">
        <v>3065</v>
      </c>
      <c r="K695" s="6" t="s">
        <v>3072</v>
      </c>
      <c r="L695" t="s">
        <v>3768</v>
      </c>
      <c r="M695">
        <v>4</v>
      </c>
      <c r="N695" t="s">
        <v>4285</v>
      </c>
      <c r="O695" t="s">
        <v>4279</v>
      </c>
      <c r="P695">
        <v>176.58</v>
      </c>
    </row>
    <row r="696" spans="1:16" x14ac:dyDescent="0.3">
      <c r="A696" t="s">
        <v>708</v>
      </c>
      <c r="B696" s="3">
        <v>45201</v>
      </c>
      <c r="C696" s="7" t="str">
        <f t="shared" si="20"/>
        <v>2023</v>
      </c>
      <c r="D696" s="7" t="str">
        <f t="shared" si="21"/>
        <v>Oct</v>
      </c>
      <c r="E696" s="6" t="s">
        <v>1906</v>
      </c>
      <c r="F696" s="5" t="s">
        <v>2407</v>
      </c>
      <c r="G696">
        <v>4</v>
      </c>
      <c r="H696">
        <v>666.52</v>
      </c>
      <c r="I696" s="6" t="s">
        <v>2695</v>
      </c>
      <c r="J696" s="6" t="s">
        <v>3069</v>
      </c>
      <c r="K696" s="6" t="s">
        <v>3070</v>
      </c>
      <c r="L696" t="s">
        <v>3769</v>
      </c>
      <c r="M696">
        <v>8</v>
      </c>
      <c r="N696" t="s">
        <v>4276</v>
      </c>
      <c r="O696" t="s">
        <v>4280</v>
      </c>
      <c r="P696">
        <v>2666.08</v>
      </c>
    </row>
    <row r="697" spans="1:16" x14ac:dyDescent="0.3">
      <c r="A697" t="s">
        <v>709</v>
      </c>
      <c r="B697" s="3">
        <v>45619</v>
      </c>
      <c r="C697" s="7" t="str">
        <f t="shared" si="20"/>
        <v>2024</v>
      </c>
      <c r="D697" s="7" t="str">
        <f t="shared" si="21"/>
        <v>Nov</v>
      </c>
      <c r="E697" s="6" t="s">
        <v>1907</v>
      </c>
      <c r="F697" s="5" t="s">
        <v>2407</v>
      </c>
      <c r="G697">
        <v>5</v>
      </c>
      <c r="H697">
        <v>101.3</v>
      </c>
      <c r="I697" s="6" t="s">
        <v>2568</v>
      </c>
      <c r="J697" s="6" t="s">
        <v>3066</v>
      </c>
      <c r="K697" s="6" t="s">
        <v>3070</v>
      </c>
      <c r="L697" t="s">
        <v>3770</v>
      </c>
      <c r="M697">
        <v>7</v>
      </c>
      <c r="N697" t="s">
        <v>4276</v>
      </c>
      <c r="O697" t="s">
        <v>4280</v>
      </c>
      <c r="P697">
        <v>506.5</v>
      </c>
    </row>
    <row r="698" spans="1:16" x14ac:dyDescent="0.3">
      <c r="A698" t="s">
        <v>710</v>
      </c>
      <c r="B698" s="3">
        <v>45109</v>
      </c>
      <c r="C698" s="7" t="str">
        <f t="shared" si="20"/>
        <v>2023</v>
      </c>
      <c r="D698" s="7" t="str">
        <f t="shared" si="21"/>
        <v>Jul</v>
      </c>
      <c r="E698" s="6" t="s">
        <v>1908</v>
      </c>
      <c r="F698" s="5" t="s">
        <v>2406</v>
      </c>
      <c r="G698">
        <v>4</v>
      </c>
      <c r="H698">
        <v>151.19999999999999</v>
      </c>
      <c r="I698" s="6" t="s">
        <v>2879</v>
      </c>
      <c r="J698" s="6" t="s">
        <v>3068</v>
      </c>
      <c r="K698" s="6" t="s">
        <v>3074</v>
      </c>
      <c r="L698" t="s">
        <v>3771</v>
      </c>
      <c r="M698">
        <v>9</v>
      </c>
      <c r="N698" t="s">
        <v>4277</v>
      </c>
      <c r="O698" t="s">
        <v>4281</v>
      </c>
      <c r="P698">
        <v>604.79999999999995</v>
      </c>
    </row>
    <row r="699" spans="1:16" x14ac:dyDescent="0.3">
      <c r="A699" t="s">
        <v>711</v>
      </c>
      <c r="B699" s="3">
        <v>45692</v>
      </c>
      <c r="C699" s="7" t="str">
        <f t="shared" si="20"/>
        <v>2025</v>
      </c>
      <c r="D699" s="7" t="str">
        <f t="shared" si="21"/>
        <v>Feb</v>
      </c>
      <c r="E699" s="6" t="s">
        <v>1909</v>
      </c>
      <c r="F699" s="5" t="s">
        <v>2407</v>
      </c>
      <c r="G699">
        <v>5</v>
      </c>
      <c r="H699">
        <v>94.85</v>
      </c>
      <c r="I699" s="6" t="s">
        <v>2840</v>
      </c>
      <c r="J699" s="6" t="s">
        <v>3069</v>
      </c>
      <c r="K699" s="6" t="s">
        <v>3070</v>
      </c>
      <c r="L699" t="s">
        <v>3772</v>
      </c>
      <c r="M699">
        <v>6</v>
      </c>
      <c r="N699" t="s">
        <v>4277</v>
      </c>
      <c r="O699" t="s">
        <v>4280</v>
      </c>
      <c r="P699">
        <v>474.25</v>
      </c>
    </row>
    <row r="700" spans="1:16" x14ac:dyDescent="0.3">
      <c r="A700" t="s">
        <v>712</v>
      </c>
      <c r="B700" s="3">
        <v>44930</v>
      </c>
      <c r="C700" s="7" t="str">
        <f t="shared" si="20"/>
        <v>2023</v>
      </c>
      <c r="D700" s="7" t="str">
        <f t="shared" si="21"/>
        <v>Jan</v>
      </c>
      <c r="E700" s="6" t="s">
        <v>1910</v>
      </c>
      <c r="F700" s="5" t="s">
        <v>2408</v>
      </c>
      <c r="G700">
        <v>2</v>
      </c>
      <c r="H700">
        <v>388.22</v>
      </c>
      <c r="I700" s="6" t="s">
        <v>2792</v>
      </c>
      <c r="J700" s="6" t="s">
        <v>3069</v>
      </c>
      <c r="K700" s="6" t="s">
        <v>3073</v>
      </c>
      <c r="L700" t="s">
        <v>3773</v>
      </c>
      <c r="M700">
        <v>2</v>
      </c>
      <c r="N700" t="s">
        <v>4277</v>
      </c>
      <c r="O700" t="s">
        <v>4278</v>
      </c>
      <c r="P700">
        <v>776.44</v>
      </c>
    </row>
    <row r="701" spans="1:16" x14ac:dyDescent="0.3">
      <c r="A701" t="s">
        <v>713</v>
      </c>
      <c r="B701" s="3">
        <v>45243</v>
      </c>
      <c r="C701" s="7" t="str">
        <f t="shared" si="20"/>
        <v>2023</v>
      </c>
      <c r="D701" s="7" t="str">
        <f t="shared" si="21"/>
        <v>Nov</v>
      </c>
      <c r="E701" s="6" t="s">
        <v>1911</v>
      </c>
      <c r="F701" s="5" t="s">
        <v>2408</v>
      </c>
      <c r="G701">
        <v>3</v>
      </c>
      <c r="H701">
        <v>614.15</v>
      </c>
      <c r="I701" s="6" t="s">
        <v>2880</v>
      </c>
      <c r="J701" s="6" t="s">
        <v>3068</v>
      </c>
      <c r="K701" s="6" t="s">
        <v>3071</v>
      </c>
      <c r="L701" t="s">
        <v>3774</v>
      </c>
      <c r="M701">
        <v>3</v>
      </c>
      <c r="N701" t="s">
        <v>4285</v>
      </c>
      <c r="O701" t="s">
        <v>4281</v>
      </c>
      <c r="P701">
        <v>1842.45</v>
      </c>
    </row>
    <row r="702" spans="1:16" x14ac:dyDescent="0.3">
      <c r="A702" t="s">
        <v>714</v>
      </c>
      <c r="B702" s="3">
        <v>45560</v>
      </c>
      <c r="C702" s="7" t="str">
        <f t="shared" si="20"/>
        <v>2024</v>
      </c>
      <c r="D702" s="7" t="str">
        <f t="shared" si="21"/>
        <v>Sept</v>
      </c>
      <c r="E702" s="6" t="s">
        <v>1912</v>
      </c>
      <c r="F702" s="5" t="s">
        <v>2408</v>
      </c>
      <c r="G702">
        <v>2</v>
      </c>
      <c r="H702">
        <v>92.91</v>
      </c>
      <c r="I702" s="6" t="s">
        <v>2881</v>
      </c>
      <c r="J702" s="6" t="s">
        <v>3069</v>
      </c>
      <c r="K702" s="6" t="s">
        <v>3072</v>
      </c>
      <c r="L702" t="s">
        <v>3775</v>
      </c>
      <c r="M702">
        <v>3</v>
      </c>
      <c r="N702" t="s">
        <v>4277</v>
      </c>
      <c r="O702" t="s">
        <v>4278</v>
      </c>
      <c r="P702">
        <v>185.82</v>
      </c>
    </row>
    <row r="703" spans="1:16" x14ac:dyDescent="0.3">
      <c r="A703" t="s">
        <v>715</v>
      </c>
      <c r="B703" s="3">
        <v>45466</v>
      </c>
      <c r="C703" s="7" t="str">
        <f t="shared" si="20"/>
        <v>2024</v>
      </c>
      <c r="D703" s="7" t="str">
        <f t="shared" si="21"/>
        <v>Jun</v>
      </c>
      <c r="E703" s="6" t="s">
        <v>1913</v>
      </c>
      <c r="F703" s="5" t="s">
        <v>2403</v>
      </c>
      <c r="G703">
        <v>3</v>
      </c>
      <c r="H703">
        <v>92.22</v>
      </c>
      <c r="I703" s="6" t="s">
        <v>2517</v>
      </c>
      <c r="J703" s="6" t="s">
        <v>3067</v>
      </c>
      <c r="K703" s="6" t="s">
        <v>3073</v>
      </c>
      <c r="L703" t="s">
        <v>3776</v>
      </c>
      <c r="M703">
        <v>5</v>
      </c>
      <c r="N703" t="s">
        <v>4276</v>
      </c>
      <c r="O703" t="s">
        <v>4280</v>
      </c>
      <c r="P703">
        <v>276.66000000000003</v>
      </c>
    </row>
    <row r="704" spans="1:16" x14ac:dyDescent="0.3">
      <c r="A704" t="s">
        <v>716</v>
      </c>
      <c r="B704" s="3">
        <v>45452</v>
      </c>
      <c r="C704" s="7" t="str">
        <f t="shared" si="20"/>
        <v>2024</v>
      </c>
      <c r="D704" s="7" t="str">
        <f t="shared" si="21"/>
        <v>Jun</v>
      </c>
      <c r="E704" s="6" t="s">
        <v>1914</v>
      </c>
      <c r="F704" s="5" t="s">
        <v>2407</v>
      </c>
      <c r="G704">
        <v>3</v>
      </c>
      <c r="H704">
        <v>562.54999999999995</v>
      </c>
      <c r="I704" s="6" t="s">
        <v>2842</v>
      </c>
      <c r="J704" s="6" t="s">
        <v>3065</v>
      </c>
      <c r="K704" s="6" t="s">
        <v>3072</v>
      </c>
      <c r="L704" t="s">
        <v>3777</v>
      </c>
      <c r="M704">
        <v>6</v>
      </c>
      <c r="N704" t="s">
        <v>4285</v>
      </c>
      <c r="O704" t="s">
        <v>4280</v>
      </c>
      <c r="P704">
        <v>1687.65</v>
      </c>
    </row>
    <row r="705" spans="1:16" x14ac:dyDescent="0.3">
      <c r="A705" t="s">
        <v>717</v>
      </c>
      <c r="B705" s="3">
        <v>45007</v>
      </c>
      <c r="C705" s="7" t="str">
        <f t="shared" si="20"/>
        <v>2023</v>
      </c>
      <c r="D705" s="7" t="str">
        <f t="shared" si="21"/>
        <v>Mar</v>
      </c>
      <c r="E705" s="6" t="s">
        <v>1915</v>
      </c>
      <c r="F705" s="5" t="s">
        <v>2409</v>
      </c>
      <c r="G705">
        <v>1</v>
      </c>
      <c r="H705">
        <v>92.79</v>
      </c>
      <c r="I705" s="6" t="s">
        <v>2882</v>
      </c>
      <c r="J705" s="6" t="s">
        <v>3069</v>
      </c>
      <c r="K705" s="6" t="s">
        <v>3074</v>
      </c>
      <c r="L705" t="s">
        <v>3778</v>
      </c>
      <c r="M705">
        <v>3</v>
      </c>
      <c r="N705" t="s">
        <v>4277</v>
      </c>
      <c r="O705" t="s">
        <v>4280</v>
      </c>
      <c r="P705">
        <v>92.79</v>
      </c>
    </row>
    <row r="706" spans="1:16" x14ac:dyDescent="0.3">
      <c r="A706" t="s">
        <v>718</v>
      </c>
      <c r="B706" s="3">
        <v>45080</v>
      </c>
      <c r="C706" s="7" t="str">
        <f t="shared" ref="C706:C769" si="22">TEXT(B706, "yyyy")</f>
        <v>2023</v>
      </c>
      <c r="D706" s="7" t="str">
        <f t="shared" ref="D706:D769" si="23">TEXT(B706, "MMM")</f>
        <v>Jun</v>
      </c>
      <c r="E706" s="6" t="s">
        <v>1916</v>
      </c>
      <c r="F706" s="5" t="s">
        <v>2409</v>
      </c>
      <c r="G706">
        <v>4</v>
      </c>
      <c r="H706">
        <v>30.27</v>
      </c>
      <c r="I706" s="6" t="s">
        <v>2555</v>
      </c>
      <c r="J706" s="6" t="s">
        <v>3066</v>
      </c>
      <c r="K706" s="6" t="s">
        <v>3073</v>
      </c>
      <c r="L706" t="s">
        <v>3779</v>
      </c>
      <c r="M706">
        <v>9</v>
      </c>
      <c r="N706" t="s">
        <v>4276</v>
      </c>
      <c r="O706" t="s">
        <v>4282</v>
      </c>
      <c r="P706">
        <v>121.08</v>
      </c>
    </row>
    <row r="707" spans="1:16" x14ac:dyDescent="0.3">
      <c r="A707" t="s">
        <v>719</v>
      </c>
      <c r="B707" s="3">
        <v>45746</v>
      </c>
      <c r="C707" s="7" t="str">
        <f t="shared" si="22"/>
        <v>2025</v>
      </c>
      <c r="D707" s="7" t="str">
        <f t="shared" si="23"/>
        <v>Mar</v>
      </c>
      <c r="E707" s="6" t="s">
        <v>1917</v>
      </c>
      <c r="F707" s="5" t="s">
        <v>2403</v>
      </c>
      <c r="G707">
        <v>2</v>
      </c>
      <c r="H707">
        <v>49.08</v>
      </c>
      <c r="I707" s="6" t="s">
        <v>2883</v>
      </c>
      <c r="J707" s="6" t="s">
        <v>3065</v>
      </c>
      <c r="K707" s="6" t="s">
        <v>3072</v>
      </c>
      <c r="L707" t="s">
        <v>3780</v>
      </c>
      <c r="M707">
        <v>7</v>
      </c>
      <c r="N707" t="s">
        <v>4276</v>
      </c>
      <c r="O707" t="s">
        <v>4278</v>
      </c>
      <c r="P707">
        <v>98.16</v>
      </c>
    </row>
    <row r="708" spans="1:16" x14ac:dyDescent="0.3">
      <c r="A708" t="s">
        <v>720</v>
      </c>
      <c r="B708" s="3">
        <v>45718</v>
      </c>
      <c r="C708" s="7" t="str">
        <f t="shared" si="22"/>
        <v>2025</v>
      </c>
      <c r="D708" s="7" t="str">
        <f t="shared" si="23"/>
        <v>Mar</v>
      </c>
      <c r="E708" s="6" t="s">
        <v>1918</v>
      </c>
      <c r="F708" s="5" t="s">
        <v>2409</v>
      </c>
      <c r="G708">
        <v>5</v>
      </c>
      <c r="H708">
        <v>228.09</v>
      </c>
      <c r="I708" s="6" t="s">
        <v>2720</v>
      </c>
      <c r="J708" s="6" t="s">
        <v>3068</v>
      </c>
      <c r="K708" s="6" t="s">
        <v>3072</v>
      </c>
      <c r="L708" t="s">
        <v>3781</v>
      </c>
      <c r="M708">
        <v>9</v>
      </c>
      <c r="N708" t="s">
        <v>4276</v>
      </c>
      <c r="O708" t="s">
        <v>4281</v>
      </c>
      <c r="P708">
        <v>1140.45</v>
      </c>
    </row>
    <row r="709" spans="1:16" x14ac:dyDescent="0.3">
      <c r="A709" t="s">
        <v>721</v>
      </c>
      <c r="B709" s="3">
        <v>45597</v>
      </c>
      <c r="C709" s="7" t="str">
        <f t="shared" si="22"/>
        <v>2024</v>
      </c>
      <c r="D709" s="7" t="str">
        <f t="shared" si="23"/>
        <v>Nov</v>
      </c>
      <c r="E709" s="6" t="s">
        <v>1919</v>
      </c>
      <c r="F709" s="5" t="s">
        <v>2406</v>
      </c>
      <c r="G709">
        <v>4</v>
      </c>
      <c r="H709">
        <v>650.04</v>
      </c>
      <c r="I709" s="6" t="s">
        <v>2487</v>
      </c>
      <c r="J709" s="6" t="s">
        <v>3068</v>
      </c>
      <c r="K709" s="6" t="s">
        <v>3071</v>
      </c>
      <c r="L709" t="s">
        <v>3782</v>
      </c>
      <c r="M709">
        <v>6</v>
      </c>
      <c r="N709" t="s">
        <v>4275</v>
      </c>
      <c r="O709" t="s">
        <v>4281</v>
      </c>
      <c r="P709">
        <v>2600.16</v>
      </c>
    </row>
    <row r="710" spans="1:16" x14ac:dyDescent="0.3">
      <c r="A710" t="s">
        <v>722</v>
      </c>
      <c r="B710" s="3">
        <v>45720</v>
      </c>
      <c r="C710" s="7" t="str">
        <f t="shared" si="22"/>
        <v>2025</v>
      </c>
      <c r="D710" s="7" t="str">
        <f t="shared" si="23"/>
        <v>Mar</v>
      </c>
      <c r="E710" s="6" t="s">
        <v>1920</v>
      </c>
      <c r="F710" s="5" t="s">
        <v>2407</v>
      </c>
      <c r="G710">
        <v>1</v>
      </c>
      <c r="H710">
        <v>665.11</v>
      </c>
      <c r="I710" s="6" t="s">
        <v>2840</v>
      </c>
      <c r="J710" s="6" t="s">
        <v>3069</v>
      </c>
      <c r="K710" s="6" t="s">
        <v>3074</v>
      </c>
      <c r="L710" t="s">
        <v>3783</v>
      </c>
      <c r="M710">
        <v>3</v>
      </c>
      <c r="N710" t="s">
        <v>4276</v>
      </c>
      <c r="O710" t="s">
        <v>4278</v>
      </c>
      <c r="P710">
        <v>665.11</v>
      </c>
    </row>
    <row r="711" spans="1:16" x14ac:dyDescent="0.3">
      <c r="A711" t="s">
        <v>723</v>
      </c>
      <c r="B711" s="3">
        <v>45633</v>
      </c>
      <c r="C711" s="7" t="str">
        <f t="shared" si="22"/>
        <v>2024</v>
      </c>
      <c r="D711" s="7" t="str">
        <f t="shared" si="23"/>
        <v>Dec</v>
      </c>
      <c r="E711" s="6" t="s">
        <v>1921</v>
      </c>
      <c r="F711" s="5" t="s">
        <v>2409</v>
      </c>
      <c r="G711">
        <v>1</v>
      </c>
      <c r="H711">
        <v>386.03</v>
      </c>
      <c r="I711" s="6" t="s">
        <v>2884</v>
      </c>
      <c r="J711" s="6" t="s">
        <v>3066</v>
      </c>
      <c r="K711" s="6" t="s">
        <v>3074</v>
      </c>
      <c r="L711" t="s">
        <v>3784</v>
      </c>
      <c r="M711">
        <v>4</v>
      </c>
      <c r="N711" t="s">
        <v>4276</v>
      </c>
      <c r="O711" t="s">
        <v>4282</v>
      </c>
      <c r="P711">
        <v>386.03</v>
      </c>
    </row>
    <row r="712" spans="1:16" x14ac:dyDescent="0.3">
      <c r="A712" t="s">
        <v>724</v>
      </c>
      <c r="B712" s="3">
        <v>45495</v>
      </c>
      <c r="C712" s="7" t="str">
        <f t="shared" si="22"/>
        <v>2024</v>
      </c>
      <c r="D712" s="7" t="str">
        <f t="shared" si="23"/>
        <v>Jul</v>
      </c>
      <c r="E712" s="6" t="s">
        <v>1922</v>
      </c>
      <c r="F712" s="5" t="s">
        <v>2408</v>
      </c>
      <c r="G712">
        <v>5</v>
      </c>
      <c r="H712">
        <v>21.54</v>
      </c>
      <c r="I712" s="6" t="s">
        <v>2885</v>
      </c>
      <c r="J712" s="6" t="s">
        <v>3068</v>
      </c>
      <c r="K712" s="6" t="s">
        <v>3072</v>
      </c>
      <c r="L712" t="s">
        <v>3785</v>
      </c>
      <c r="M712">
        <v>10</v>
      </c>
      <c r="N712" t="s">
        <v>4285</v>
      </c>
      <c r="O712" t="s">
        <v>4282</v>
      </c>
      <c r="P712">
        <v>107.7</v>
      </c>
    </row>
    <row r="713" spans="1:16" x14ac:dyDescent="0.3">
      <c r="A713" t="s">
        <v>725</v>
      </c>
      <c r="B713" s="3">
        <v>45477</v>
      </c>
      <c r="C713" s="7" t="str">
        <f t="shared" si="22"/>
        <v>2024</v>
      </c>
      <c r="D713" s="7" t="str">
        <f t="shared" si="23"/>
        <v>Jul</v>
      </c>
      <c r="E713" s="6" t="s">
        <v>1923</v>
      </c>
      <c r="F713" s="5" t="s">
        <v>2405</v>
      </c>
      <c r="G713">
        <v>2</v>
      </c>
      <c r="H713">
        <v>475.78</v>
      </c>
      <c r="I713" s="6" t="s">
        <v>2886</v>
      </c>
      <c r="J713" s="6" t="s">
        <v>3066</v>
      </c>
      <c r="K713" s="6" t="s">
        <v>3070</v>
      </c>
      <c r="L713" t="s">
        <v>3786</v>
      </c>
      <c r="M713">
        <v>2</v>
      </c>
      <c r="N713" t="s">
        <v>4277</v>
      </c>
      <c r="O713" t="s">
        <v>4282</v>
      </c>
      <c r="P713">
        <v>951.56</v>
      </c>
    </row>
    <row r="714" spans="1:16" x14ac:dyDescent="0.3">
      <c r="A714" t="s">
        <v>726</v>
      </c>
      <c r="B714" s="3">
        <v>45300</v>
      </c>
      <c r="C714" s="7" t="str">
        <f t="shared" si="22"/>
        <v>2024</v>
      </c>
      <c r="D714" s="7" t="str">
        <f t="shared" si="23"/>
        <v>Jan</v>
      </c>
      <c r="E714" s="6" t="s">
        <v>1771</v>
      </c>
      <c r="F714" s="5" t="s">
        <v>2405</v>
      </c>
      <c r="G714">
        <v>2</v>
      </c>
      <c r="H714">
        <v>68.400000000000006</v>
      </c>
      <c r="I714" s="6" t="s">
        <v>2887</v>
      </c>
      <c r="J714" s="6" t="s">
        <v>3068</v>
      </c>
      <c r="K714" s="6" t="s">
        <v>3074</v>
      </c>
      <c r="L714" t="s">
        <v>3787</v>
      </c>
      <c r="M714">
        <v>7</v>
      </c>
      <c r="N714" t="s">
        <v>4276</v>
      </c>
      <c r="O714" t="s">
        <v>4280</v>
      </c>
      <c r="P714">
        <v>136.80000000000001</v>
      </c>
    </row>
    <row r="715" spans="1:16" x14ac:dyDescent="0.3">
      <c r="A715" t="s">
        <v>727</v>
      </c>
      <c r="B715" s="3">
        <v>45829</v>
      </c>
      <c r="C715" s="7" t="str">
        <f t="shared" si="22"/>
        <v>2025</v>
      </c>
      <c r="D715" s="7" t="str">
        <f t="shared" si="23"/>
        <v>Jun</v>
      </c>
      <c r="E715" s="6" t="s">
        <v>1924</v>
      </c>
      <c r="F715" s="5" t="s">
        <v>2405</v>
      </c>
      <c r="G715">
        <v>4</v>
      </c>
      <c r="H715">
        <v>532.49</v>
      </c>
      <c r="I715" s="6" t="s">
        <v>2873</v>
      </c>
      <c r="J715" s="6" t="s">
        <v>3066</v>
      </c>
      <c r="K715" s="6" t="s">
        <v>3071</v>
      </c>
      <c r="L715" t="s">
        <v>3788</v>
      </c>
      <c r="M715">
        <v>6</v>
      </c>
      <c r="N715" t="s">
        <v>4275</v>
      </c>
      <c r="O715" t="s">
        <v>4281</v>
      </c>
      <c r="P715">
        <v>2129.96</v>
      </c>
    </row>
    <row r="716" spans="1:16" x14ac:dyDescent="0.3">
      <c r="A716" t="s">
        <v>728</v>
      </c>
      <c r="B716" s="3">
        <v>45037</v>
      </c>
      <c r="C716" s="7" t="str">
        <f t="shared" si="22"/>
        <v>2023</v>
      </c>
      <c r="D716" s="7" t="str">
        <f t="shared" si="23"/>
        <v>Apr</v>
      </c>
      <c r="E716" s="6" t="s">
        <v>1925</v>
      </c>
      <c r="F716" s="5" t="s">
        <v>2408</v>
      </c>
      <c r="G716">
        <v>1</v>
      </c>
      <c r="H716">
        <v>51.73</v>
      </c>
      <c r="I716" s="6" t="s">
        <v>2660</v>
      </c>
      <c r="J716" s="6" t="s">
        <v>3065</v>
      </c>
      <c r="K716" s="6" t="s">
        <v>3074</v>
      </c>
      <c r="L716" t="s">
        <v>3789</v>
      </c>
      <c r="M716">
        <v>1</v>
      </c>
      <c r="N716" t="s">
        <v>4276</v>
      </c>
      <c r="O716" t="s">
        <v>4281</v>
      </c>
      <c r="P716">
        <v>51.73</v>
      </c>
    </row>
    <row r="717" spans="1:16" x14ac:dyDescent="0.3">
      <c r="A717" t="s">
        <v>729</v>
      </c>
      <c r="B717" s="3">
        <v>45499</v>
      </c>
      <c r="C717" s="7" t="str">
        <f t="shared" si="22"/>
        <v>2024</v>
      </c>
      <c r="D717" s="7" t="str">
        <f t="shared" si="23"/>
        <v>Jul</v>
      </c>
      <c r="E717" s="6" t="s">
        <v>1926</v>
      </c>
      <c r="F717" s="5" t="s">
        <v>2407</v>
      </c>
      <c r="G717">
        <v>3</v>
      </c>
      <c r="H717">
        <v>653.63</v>
      </c>
      <c r="I717" s="6" t="s">
        <v>2888</v>
      </c>
      <c r="J717" s="6" t="s">
        <v>3066</v>
      </c>
      <c r="K717" s="6" t="s">
        <v>3073</v>
      </c>
      <c r="L717" t="s">
        <v>3790</v>
      </c>
      <c r="M717">
        <v>7</v>
      </c>
      <c r="N717" t="s">
        <v>4276</v>
      </c>
      <c r="O717" t="s">
        <v>4280</v>
      </c>
      <c r="P717">
        <v>1960.89</v>
      </c>
    </row>
    <row r="718" spans="1:16" x14ac:dyDescent="0.3">
      <c r="A718" t="s">
        <v>730</v>
      </c>
      <c r="B718" s="3">
        <v>45456</v>
      </c>
      <c r="C718" s="7" t="str">
        <f t="shared" si="22"/>
        <v>2024</v>
      </c>
      <c r="D718" s="7" t="str">
        <f t="shared" si="23"/>
        <v>Jun</v>
      </c>
      <c r="E718" s="6" t="s">
        <v>1927</v>
      </c>
      <c r="F718" s="5" t="s">
        <v>2406</v>
      </c>
      <c r="G718">
        <v>3</v>
      </c>
      <c r="H718">
        <v>454.29</v>
      </c>
      <c r="I718" s="6" t="s">
        <v>2428</v>
      </c>
      <c r="J718" s="6" t="s">
        <v>3067</v>
      </c>
      <c r="K718" s="6" t="s">
        <v>3074</v>
      </c>
      <c r="L718" t="s">
        <v>3791</v>
      </c>
      <c r="M718">
        <v>4</v>
      </c>
      <c r="N718" t="s">
        <v>4277</v>
      </c>
      <c r="O718" t="s">
        <v>4282</v>
      </c>
      <c r="P718">
        <v>1362.87</v>
      </c>
    </row>
    <row r="719" spans="1:16" x14ac:dyDescent="0.3">
      <c r="A719" t="s">
        <v>731</v>
      </c>
      <c r="B719" s="3">
        <v>45215</v>
      </c>
      <c r="C719" s="7" t="str">
        <f t="shared" si="22"/>
        <v>2023</v>
      </c>
      <c r="D719" s="7" t="str">
        <f t="shared" si="23"/>
        <v>Oct</v>
      </c>
      <c r="E719" s="6" t="s">
        <v>1928</v>
      </c>
      <c r="F719" s="5" t="s">
        <v>2406</v>
      </c>
      <c r="G719">
        <v>3</v>
      </c>
      <c r="H719">
        <v>122.11</v>
      </c>
      <c r="I719" s="6" t="s">
        <v>2889</v>
      </c>
      <c r="J719" s="6" t="s">
        <v>3066</v>
      </c>
      <c r="K719" s="6" t="s">
        <v>3073</v>
      </c>
      <c r="L719" t="s">
        <v>3792</v>
      </c>
      <c r="M719">
        <v>4</v>
      </c>
      <c r="N719" t="s">
        <v>4277</v>
      </c>
      <c r="O719" t="s">
        <v>4280</v>
      </c>
      <c r="P719">
        <v>366.33</v>
      </c>
    </row>
    <row r="720" spans="1:16" x14ac:dyDescent="0.3">
      <c r="A720" t="s">
        <v>732</v>
      </c>
      <c r="B720" s="3">
        <v>45024</v>
      </c>
      <c r="C720" s="7" t="str">
        <f t="shared" si="22"/>
        <v>2023</v>
      </c>
      <c r="D720" s="7" t="str">
        <f t="shared" si="23"/>
        <v>Apr</v>
      </c>
      <c r="E720" s="6" t="s">
        <v>1929</v>
      </c>
      <c r="F720" s="5" t="s">
        <v>2408</v>
      </c>
      <c r="G720">
        <v>4</v>
      </c>
      <c r="H720">
        <v>64.739999999999995</v>
      </c>
      <c r="I720" s="6" t="s">
        <v>2890</v>
      </c>
      <c r="J720" s="6" t="s">
        <v>3068</v>
      </c>
      <c r="K720" s="6" t="s">
        <v>3071</v>
      </c>
      <c r="L720" t="s">
        <v>3793</v>
      </c>
      <c r="M720">
        <v>8</v>
      </c>
      <c r="N720" t="s">
        <v>4275</v>
      </c>
      <c r="O720" t="s">
        <v>4282</v>
      </c>
      <c r="P720">
        <v>258.95999999999998</v>
      </c>
    </row>
    <row r="721" spans="1:16" x14ac:dyDescent="0.3">
      <c r="A721" t="s">
        <v>733</v>
      </c>
      <c r="B721" s="3">
        <v>45312</v>
      </c>
      <c r="C721" s="7" t="str">
        <f t="shared" si="22"/>
        <v>2024</v>
      </c>
      <c r="D721" s="7" t="str">
        <f t="shared" si="23"/>
        <v>Jan</v>
      </c>
      <c r="E721" s="6" t="s">
        <v>1930</v>
      </c>
      <c r="F721" s="5" t="s">
        <v>2408</v>
      </c>
      <c r="G721">
        <v>2</v>
      </c>
      <c r="H721">
        <v>681.06</v>
      </c>
      <c r="I721" s="6" t="s">
        <v>2891</v>
      </c>
      <c r="J721" s="6" t="s">
        <v>3065</v>
      </c>
      <c r="K721" s="6" t="s">
        <v>3070</v>
      </c>
      <c r="L721" t="s">
        <v>3794</v>
      </c>
      <c r="M721">
        <v>3</v>
      </c>
      <c r="N721" t="s">
        <v>4276</v>
      </c>
      <c r="O721" t="s">
        <v>4281</v>
      </c>
      <c r="P721">
        <v>1362.12</v>
      </c>
    </row>
    <row r="722" spans="1:16" x14ac:dyDescent="0.3">
      <c r="A722" t="s">
        <v>734</v>
      </c>
      <c r="B722" s="3">
        <v>45190</v>
      </c>
      <c r="C722" s="7" t="str">
        <f t="shared" si="22"/>
        <v>2023</v>
      </c>
      <c r="D722" s="7" t="str">
        <f t="shared" si="23"/>
        <v>Sept</v>
      </c>
      <c r="E722" s="6" t="s">
        <v>1931</v>
      </c>
      <c r="F722" s="5" t="s">
        <v>2409</v>
      </c>
      <c r="G722">
        <v>5</v>
      </c>
      <c r="H722">
        <v>128.94999999999999</v>
      </c>
      <c r="I722" s="6" t="s">
        <v>2892</v>
      </c>
      <c r="J722" s="6" t="s">
        <v>3069</v>
      </c>
      <c r="K722" s="6" t="s">
        <v>3074</v>
      </c>
      <c r="L722" t="s">
        <v>3795</v>
      </c>
      <c r="M722">
        <v>10</v>
      </c>
      <c r="N722" t="s">
        <v>4276</v>
      </c>
      <c r="O722" t="s">
        <v>4278</v>
      </c>
      <c r="P722">
        <v>644.75</v>
      </c>
    </row>
    <row r="723" spans="1:16" x14ac:dyDescent="0.3">
      <c r="A723" t="s">
        <v>735</v>
      </c>
      <c r="B723" s="3">
        <v>45369</v>
      </c>
      <c r="C723" s="7" t="str">
        <f t="shared" si="22"/>
        <v>2024</v>
      </c>
      <c r="D723" s="7" t="str">
        <f t="shared" si="23"/>
        <v>Mar</v>
      </c>
      <c r="E723" s="6" t="s">
        <v>1932</v>
      </c>
      <c r="F723" s="5" t="s">
        <v>2409</v>
      </c>
      <c r="G723">
        <v>2</v>
      </c>
      <c r="H723">
        <v>118.59</v>
      </c>
      <c r="I723" s="6" t="s">
        <v>2893</v>
      </c>
      <c r="J723" s="6" t="s">
        <v>3067</v>
      </c>
      <c r="K723" s="6" t="s">
        <v>3073</v>
      </c>
      <c r="L723" t="s">
        <v>3796</v>
      </c>
      <c r="M723">
        <v>2</v>
      </c>
      <c r="N723" t="s">
        <v>4285</v>
      </c>
      <c r="O723" t="s">
        <v>4280</v>
      </c>
      <c r="P723">
        <v>237.18</v>
      </c>
    </row>
    <row r="724" spans="1:16" x14ac:dyDescent="0.3">
      <c r="A724" t="s">
        <v>736</v>
      </c>
      <c r="B724" s="3">
        <v>45611</v>
      </c>
      <c r="C724" s="7" t="str">
        <f t="shared" si="22"/>
        <v>2024</v>
      </c>
      <c r="D724" s="7" t="str">
        <f t="shared" si="23"/>
        <v>Nov</v>
      </c>
      <c r="E724" s="6" t="s">
        <v>1933</v>
      </c>
      <c r="F724" s="5" t="s">
        <v>2407</v>
      </c>
      <c r="G724">
        <v>1</v>
      </c>
      <c r="H724">
        <v>95.1</v>
      </c>
      <c r="I724" s="6" t="s">
        <v>2654</v>
      </c>
      <c r="J724" s="6" t="s">
        <v>3068</v>
      </c>
      <c r="K724" s="6" t="s">
        <v>3074</v>
      </c>
      <c r="L724" t="s">
        <v>3797</v>
      </c>
      <c r="M724">
        <v>1</v>
      </c>
      <c r="N724" t="s">
        <v>4277</v>
      </c>
      <c r="O724" t="s">
        <v>4278</v>
      </c>
      <c r="P724">
        <v>95.1</v>
      </c>
    </row>
    <row r="725" spans="1:16" x14ac:dyDescent="0.3">
      <c r="A725" t="s">
        <v>737</v>
      </c>
      <c r="B725" s="3">
        <v>45269</v>
      </c>
      <c r="C725" s="7" t="str">
        <f t="shared" si="22"/>
        <v>2023</v>
      </c>
      <c r="D725" s="7" t="str">
        <f t="shared" si="23"/>
        <v>Dec</v>
      </c>
      <c r="E725" s="6" t="s">
        <v>1934</v>
      </c>
      <c r="F725" s="5" t="s">
        <v>2409</v>
      </c>
      <c r="G725">
        <v>3</v>
      </c>
      <c r="H725">
        <v>54.95</v>
      </c>
      <c r="I725" s="6" t="s">
        <v>2471</v>
      </c>
      <c r="J725" s="6" t="s">
        <v>3069</v>
      </c>
      <c r="K725" s="6" t="s">
        <v>3072</v>
      </c>
      <c r="L725" t="s">
        <v>3798</v>
      </c>
      <c r="M725">
        <v>8</v>
      </c>
      <c r="N725" t="s">
        <v>4275</v>
      </c>
      <c r="O725" t="s">
        <v>4279</v>
      </c>
      <c r="P725">
        <v>164.85</v>
      </c>
    </row>
    <row r="726" spans="1:16" x14ac:dyDescent="0.3">
      <c r="A726" t="s">
        <v>738</v>
      </c>
      <c r="B726" s="3">
        <v>45583</v>
      </c>
      <c r="C726" s="7" t="str">
        <f t="shared" si="22"/>
        <v>2024</v>
      </c>
      <c r="D726" s="7" t="str">
        <f t="shared" si="23"/>
        <v>Oct</v>
      </c>
      <c r="E726" s="6" t="s">
        <v>1935</v>
      </c>
      <c r="F726" s="5" t="s">
        <v>2407</v>
      </c>
      <c r="G726">
        <v>3</v>
      </c>
      <c r="H726">
        <v>136.97</v>
      </c>
      <c r="I726" s="6" t="s">
        <v>2667</v>
      </c>
      <c r="J726" s="6" t="s">
        <v>3067</v>
      </c>
      <c r="K726" s="6" t="s">
        <v>3072</v>
      </c>
      <c r="L726" t="s">
        <v>3799</v>
      </c>
      <c r="M726">
        <v>4</v>
      </c>
      <c r="N726" t="s">
        <v>4276</v>
      </c>
      <c r="O726" t="s">
        <v>4279</v>
      </c>
      <c r="P726">
        <v>410.91</v>
      </c>
    </row>
    <row r="727" spans="1:16" x14ac:dyDescent="0.3">
      <c r="A727" t="s">
        <v>739</v>
      </c>
      <c r="B727" s="3">
        <v>44997</v>
      </c>
      <c r="C727" s="7" t="str">
        <f t="shared" si="22"/>
        <v>2023</v>
      </c>
      <c r="D727" s="7" t="str">
        <f t="shared" si="23"/>
        <v>Mar</v>
      </c>
      <c r="E727" s="6" t="s">
        <v>1936</v>
      </c>
      <c r="F727" s="5" t="s">
        <v>2406</v>
      </c>
      <c r="G727">
        <v>2</v>
      </c>
      <c r="H727">
        <v>194.85</v>
      </c>
      <c r="I727" s="6" t="s">
        <v>2787</v>
      </c>
      <c r="J727" s="6" t="s">
        <v>3068</v>
      </c>
      <c r="K727" s="6" t="s">
        <v>3072</v>
      </c>
      <c r="L727" t="s">
        <v>3800</v>
      </c>
      <c r="M727">
        <v>5</v>
      </c>
      <c r="N727" t="s">
        <v>4285</v>
      </c>
      <c r="O727" t="s">
        <v>4279</v>
      </c>
      <c r="P727">
        <v>389.7</v>
      </c>
    </row>
    <row r="728" spans="1:16" x14ac:dyDescent="0.3">
      <c r="A728" t="s">
        <v>740</v>
      </c>
      <c r="B728" s="3">
        <v>45590</v>
      </c>
      <c r="C728" s="7" t="str">
        <f t="shared" si="22"/>
        <v>2024</v>
      </c>
      <c r="D728" s="7" t="str">
        <f t="shared" si="23"/>
        <v>Oct</v>
      </c>
      <c r="E728" s="6" t="s">
        <v>1937</v>
      </c>
      <c r="F728" s="5" t="s">
        <v>2408</v>
      </c>
      <c r="G728">
        <v>4</v>
      </c>
      <c r="H728">
        <v>583.02</v>
      </c>
      <c r="I728" s="6" t="s">
        <v>2894</v>
      </c>
      <c r="J728" s="6" t="s">
        <v>3066</v>
      </c>
      <c r="K728" s="6" t="s">
        <v>3073</v>
      </c>
      <c r="L728" t="s">
        <v>3801</v>
      </c>
      <c r="M728">
        <v>4</v>
      </c>
      <c r="N728" t="s">
        <v>4276</v>
      </c>
      <c r="O728" t="s">
        <v>4281</v>
      </c>
      <c r="P728">
        <v>2332.08</v>
      </c>
    </row>
    <row r="729" spans="1:16" x14ac:dyDescent="0.3">
      <c r="A729" t="s">
        <v>741</v>
      </c>
      <c r="B729" s="3">
        <v>45564</v>
      </c>
      <c r="C729" s="7" t="str">
        <f t="shared" si="22"/>
        <v>2024</v>
      </c>
      <c r="D729" s="7" t="str">
        <f t="shared" si="23"/>
        <v>Sept</v>
      </c>
      <c r="E729" s="6" t="s">
        <v>1938</v>
      </c>
      <c r="F729" s="5" t="s">
        <v>2406</v>
      </c>
      <c r="G729">
        <v>5</v>
      </c>
      <c r="H729">
        <v>95.75</v>
      </c>
      <c r="I729" s="6" t="s">
        <v>2748</v>
      </c>
      <c r="J729" s="6" t="s">
        <v>3066</v>
      </c>
      <c r="K729" s="6" t="s">
        <v>3070</v>
      </c>
      <c r="L729" t="s">
        <v>3802</v>
      </c>
      <c r="M729">
        <v>8</v>
      </c>
      <c r="N729" t="s">
        <v>4275</v>
      </c>
      <c r="O729" t="s">
        <v>4278</v>
      </c>
      <c r="P729">
        <v>478.75</v>
      </c>
    </row>
    <row r="730" spans="1:16" x14ac:dyDescent="0.3">
      <c r="A730" t="s">
        <v>742</v>
      </c>
      <c r="B730" s="3">
        <v>45502</v>
      </c>
      <c r="C730" s="7" t="str">
        <f t="shared" si="22"/>
        <v>2024</v>
      </c>
      <c r="D730" s="7" t="str">
        <f t="shared" si="23"/>
        <v>Jul</v>
      </c>
      <c r="E730" s="6" t="s">
        <v>1939</v>
      </c>
      <c r="F730" s="5" t="s">
        <v>2409</v>
      </c>
      <c r="G730">
        <v>4</v>
      </c>
      <c r="H730">
        <v>325.76</v>
      </c>
      <c r="I730" s="6" t="s">
        <v>2895</v>
      </c>
      <c r="J730" s="6" t="s">
        <v>3068</v>
      </c>
      <c r="K730" s="6" t="s">
        <v>3070</v>
      </c>
      <c r="L730" t="s">
        <v>3803</v>
      </c>
      <c r="M730">
        <v>8</v>
      </c>
      <c r="N730" t="s">
        <v>4277</v>
      </c>
      <c r="O730" t="s">
        <v>4280</v>
      </c>
      <c r="P730">
        <v>1303.04</v>
      </c>
    </row>
    <row r="731" spans="1:16" x14ac:dyDescent="0.3">
      <c r="A731" t="s">
        <v>743</v>
      </c>
      <c r="B731" s="3">
        <v>45177</v>
      </c>
      <c r="C731" s="7" t="str">
        <f t="shared" si="22"/>
        <v>2023</v>
      </c>
      <c r="D731" s="7" t="str">
        <f t="shared" si="23"/>
        <v>Sept</v>
      </c>
      <c r="E731" s="6" t="s">
        <v>1940</v>
      </c>
      <c r="F731" s="5" t="s">
        <v>2404</v>
      </c>
      <c r="G731">
        <v>4</v>
      </c>
      <c r="H731">
        <v>186.41</v>
      </c>
      <c r="I731" s="6" t="s">
        <v>2555</v>
      </c>
      <c r="J731" s="6" t="s">
        <v>3068</v>
      </c>
      <c r="K731" s="6" t="s">
        <v>3074</v>
      </c>
      <c r="L731" t="s">
        <v>3804</v>
      </c>
      <c r="M731">
        <v>6</v>
      </c>
      <c r="N731" t="s">
        <v>4275</v>
      </c>
      <c r="O731" t="s">
        <v>4282</v>
      </c>
      <c r="P731">
        <v>745.64</v>
      </c>
    </row>
    <row r="732" spans="1:16" x14ac:dyDescent="0.3">
      <c r="A732" t="s">
        <v>744</v>
      </c>
      <c r="B732" s="3">
        <v>45710</v>
      </c>
      <c r="C732" s="7" t="str">
        <f t="shared" si="22"/>
        <v>2025</v>
      </c>
      <c r="D732" s="7" t="str">
        <f t="shared" si="23"/>
        <v>Feb</v>
      </c>
      <c r="E732" s="6" t="s">
        <v>1941</v>
      </c>
      <c r="F732" s="5" t="s">
        <v>2404</v>
      </c>
      <c r="G732">
        <v>1</v>
      </c>
      <c r="H732">
        <v>474.6</v>
      </c>
      <c r="I732" s="6" t="s">
        <v>2618</v>
      </c>
      <c r="J732" s="6" t="s">
        <v>3065</v>
      </c>
      <c r="K732" s="6" t="s">
        <v>3073</v>
      </c>
      <c r="L732" t="s">
        <v>3805</v>
      </c>
      <c r="M732">
        <v>4</v>
      </c>
      <c r="N732" t="s">
        <v>4275</v>
      </c>
      <c r="O732" t="s">
        <v>4280</v>
      </c>
      <c r="P732">
        <v>474.6</v>
      </c>
    </row>
    <row r="733" spans="1:16" x14ac:dyDescent="0.3">
      <c r="A733" t="s">
        <v>745</v>
      </c>
      <c r="B733" s="3">
        <v>45450</v>
      </c>
      <c r="C733" s="7" t="str">
        <f t="shared" si="22"/>
        <v>2024</v>
      </c>
      <c r="D733" s="7" t="str">
        <f t="shared" si="23"/>
        <v>Jun</v>
      </c>
      <c r="E733" s="6" t="s">
        <v>1942</v>
      </c>
      <c r="F733" s="5" t="s">
        <v>2407</v>
      </c>
      <c r="G733">
        <v>5</v>
      </c>
      <c r="H733">
        <v>584.46</v>
      </c>
      <c r="I733" s="6" t="s">
        <v>2896</v>
      </c>
      <c r="J733" s="6" t="s">
        <v>3067</v>
      </c>
      <c r="K733" s="6" t="s">
        <v>3072</v>
      </c>
      <c r="L733" t="s">
        <v>3806</v>
      </c>
      <c r="M733">
        <v>8</v>
      </c>
      <c r="N733" t="s">
        <v>4285</v>
      </c>
      <c r="O733" t="s">
        <v>4280</v>
      </c>
      <c r="P733">
        <v>2922.3</v>
      </c>
    </row>
    <row r="734" spans="1:16" x14ac:dyDescent="0.3">
      <c r="A734" t="s">
        <v>746</v>
      </c>
      <c r="B734" s="3">
        <v>45723</v>
      </c>
      <c r="C734" s="7" t="str">
        <f t="shared" si="22"/>
        <v>2025</v>
      </c>
      <c r="D734" s="7" t="str">
        <f t="shared" si="23"/>
        <v>Mar</v>
      </c>
      <c r="E734" s="6" t="s">
        <v>1943</v>
      </c>
      <c r="F734" s="5" t="s">
        <v>2408</v>
      </c>
      <c r="G734">
        <v>1</v>
      </c>
      <c r="H734">
        <v>132.05000000000001</v>
      </c>
      <c r="I734" s="6" t="s">
        <v>2876</v>
      </c>
      <c r="J734" s="6" t="s">
        <v>3066</v>
      </c>
      <c r="K734" s="6" t="s">
        <v>3073</v>
      </c>
      <c r="L734" t="s">
        <v>3807</v>
      </c>
      <c r="M734">
        <v>2</v>
      </c>
      <c r="N734" t="s">
        <v>4285</v>
      </c>
      <c r="O734" t="s">
        <v>4282</v>
      </c>
      <c r="P734">
        <v>132.05000000000001</v>
      </c>
    </row>
    <row r="735" spans="1:16" x14ac:dyDescent="0.3">
      <c r="A735" t="s">
        <v>747</v>
      </c>
      <c r="B735" s="3">
        <v>45264</v>
      </c>
      <c r="C735" s="7" t="str">
        <f t="shared" si="22"/>
        <v>2023</v>
      </c>
      <c r="D735" s="7" t="str">
        <f t="shared" si="23"/>
        <v>Dec</v>
      </c>
      <c r="E735" s="6" t="s">
        <v>1944</v>
      </c>
      <c r="F735" s="5" t="s">
        <v>2405</v>
      </c>
      <c r="G735">
        <v>4</v>
      </c>
      <c r="H735">
        <v>494.84</v>
      </c>
      <c r="I735" s="6" t="s">
        <v>2869</v>
      </c>
      <c r="J735" s="6" t="s">
        <v>3069</v>
      </c>
      <c r="K735" s="6" t="s">
        <v>3072</v>
      </c>
      <c r="L735" t="s">
        <v>3808</v>
      </c>
      <c r="M735">
        <v>8</v>
      </c>
      <c r="N735" t="s">
        <v>4275</v>
      </c>
      <c r="O735" t="s">
        <v>4280</v>
      </c>
      <c r="P735">
        <v>1979.36</v>
      </c>
    </row>
    <row r="736" spans="1:16" x14ac:dyDescent="0.3">
      <c r="A736" t="s">
        <v>748</v>
      </c>
      <c r="B736" s="3">
        <v>45314</v>
      </c>
      <c r="C736" s="7" t="str">
        <f t="shared" si="22"/>
        <v>2024</v>
      </c>
      <c r="D736" s="7" t="str">
        <f t="shared" si="23"/>
        <v>Jan</v>
      </c>
      <c r="E736" s="6" t="s">
        <v>1945</v>
      </c>
      <c r="F736" s="5" t="s">
        <v>2407</v>
      </c>
      <c r="G736">
        <v>4</v>
      </c>
      <c r="H736">
        <v>224.61</v>
      </c>
      <c r="I736" s="6" t="s">
        <v>2655</v>
      </c>
      <c r="J736" s="6" t="s">
        <v>3067</v>
      </c>
      <c r="K736" s="6" t="s">
        <v>3072</v>
      </c>
      <c r="L736" t="s">
        <v>3809</v>
      </c>
      <c r="M736">
        <v>6</v>
      </c>
      <c r="N736" t="s">
        <v>4277</v>
      </c>
      <c r="O736" t="s">
        <v>4281</v>
      </c>
      <c r="P736">
        <v>898.44</v>
      </c>
    </row>
    <row r="737" spans="1:16" x14ac:dyDescent="0.3">
      <c r="A737" t="s">
        <v>749</v>
      </c>
      <c r="B737" s="3">
        <v>45471</v>
      </c>
      <c r="C737" s="7" t="str">
        <f t="shared" si="22"/>
        <v>2024</v>
      </c>
      <c r="D737" s="7" t="str">
        <f t="shared" si="23"/>
        <v>Jun</v>
      </c>
      <c r="E737" s="6" t="s">
        <v>1946</v>
      </c>
      <c r="F737" s="5" t="s">
        <v>2403</v>
      </c>
      <c r="G737">
        <v>4</v>
      </c>
      <c r="H737">
        <v>44.07</v>
      </c>
      <c r="I737" s="6" t="s">
        <v>2729</v>
      </c>
      <c r="J737" s="6" t="s">
        <v>3065</v>
      </c>
      <c r="K737" s="6" t="s">
        <v>3074</v>
      </c>
      <c r="L737" t="s">
        <v>3810</v>
      </c>
      <c r="M737">
        <v>6</v>
      </c>
      <c r="N737" t="s">
        <v>4285</v>
      </c>
      <c r="O737" t="s">
        <v>4280</v>
      </c>
      <c r="P737">
        <v>176.28</v>
      </c>
    </row>
    <row r="738" spans="1:16" x14ac:dyDescent="0.3">
      <c r="A738" t="s">
        <v>750</v>
      </c>
      <c r="B738" s="3">
        <v>45331</v>
      </c>
      <c r="C738" s="7" t="str">
        <f t="shared" si="22"/>
        <v>2024</v>
      </c>
      <c r="D738" s="7" t="str">
        <f t="shared" si="23"/>
        <v>Feb</v>
      </c>
      <c r="E738" s="6" t="s">
        <v>1947</v>
      </c>
      <c r="F738" s="5" t="s">
        <v>2403</v>
      </c>
      <c r="G738">
        <v>5</v>
      </c>
      <c r="H738">
        <v>418.53</v>
      </c>
      <c r="I738" s="6" t="s">
        <v>2796</v>
      </c>
      <c r="J738" s="6" t="s">
        <v>3067</v>
      </c>
      <c r="K738" s="6" t="s">
        <v>3074</v>
      </c>
      <c r="L738" t="s">
        <v>3811</v>
      </c>
      <c r="M738">
        <v>6</v>
      </c>
      <c r="N738" t="s">
        <v>4276</v>
      </c>
      <c r="O738" t="s">
        <v>4282</v>
      </c>
      <c r="P738">
        <v>2092.65</v>
      </c>
    </row>
    <row r="739" spans="1:16" x14ac:dyDescent="0.3">
      <c r="A739" t="s">
        <v>751</v>
      </c>
      <c r="B739" s="3">
        <v>45294</v>
      </c>
      <c r="C739" s="7" t="str">
        <f t="shared" si="22"/>
        <v>2024</v>
      </c>
      <c r="D739" s="7" t="str">
        <f t="shared" si="23"/>
        <v>Jan</v>
      </c>
      <c r="E739" s="6" t="s">
        <v>1948</v>
      </c>
      <c r="F739" s="5" t="s">
        <v>2404</v>
      </c>
      <c r="G739">
        <v>4</v>
      </c>
      <c r="H739">
        <v>532.87</v>
      </c>
      <c r="I739" s="6" t="s">
        <v>2897</v>
      </c>
      <c r="J739" s="6" t="s">
        <v>3069</v>
      </c>
      <c r="K739" s="6" t="s">
        <v>3074</v>
      </c>
      <c r="L739" t="s">
        <v>3812</v>
      </c>
      <c r="M739">
        <v>9</v>
      </c>
      <c r="N739" t="s">
        <v>4276</v>
      </c>
      <c r="O739" t="s">
        <v>4278</v>
      </c>
      <c r="P739">
        <v>2131.48</v>
      </c>
    </row>
    <row r="740" spans="1:16" x14ac:dyDescent="0.3">
      <c r="A740" t="s">
        <v>752</v>
      </c>
      <c r="B740" s="3">
        <v>45812</v>
      </c>
      <c r="C740" s="7" t="str">
        <f t="shared" si="22"/>
        <v>2025</v>
      </c>
      <c r="D740" s="7" t="str">
        <f t="shared" si="23"/>
        <v>Jun</v>
      </c>
      <c r="E740" s="6" t="s">
        <v>1949</v>
      </c>
      <c r="F740" s="5" t="s">
        <v>2404</v>
      </c>
      <c r="G740">
        <v>2</v>
      </c>
      <c r="H740">
        <v>485.37</v>
      </c>
      <c r="I740" s="6" t="s">
        <v>2898</v>
      </c>
      <c r="J740" s="6" t="s">
        <v>3067</v>
      </c>
      <c r="K740" s="6" t="s">
        <v>3070</v>
      </c>
      <c r="L740" t="s">
        <v>3813</v>
      </c>
      <c r="M740">
        <v>5</v>
      </c>
      <c r="N740" t="s">
        <v>4275</v>
      </c>
      <c r="O740" t="s">
        <v>4280</v>
      </c>
      <c r="P740">
        <v>970.74</v>
      </c>
    </row>
    <row r="741" spans="1:16" x14ac:dyDescent="0.3">
      <c r="A741" t="s">
        <v>753</v>
      </c>
      <c r="B741" s="3">
        <v>45456</v>
      </c>
      <c r="C741" s="7" t="str">
        <f t="shared" si="22"/>
        <v>2024</v>
      </c>
      <c r="D741" s="7" t="str">
        <f t="shared" si="23"/>
        <v>Jun</v>
      </c>
      <c r="E741" s="6" t="s">
        <v>1950</v>
      </c>
      <c r="F741" s="5" t="s">
        <v>2404</v>
      </c>
      <c r="G741">
        <v>4</v>
      </c>
      <c r="H741">
        <v>386.73</v>
      </c>
      <c r="I741" s="6" t="s">
        <v>2532</v>
      </c>
      <c r="J741" s="6" t="s">
        <v>3069</v>
      </c>
      <c r="K741" s="6" t="s">
        <v>3073</v>
      </c>
      <c r="L741" t="s">
        <v>3814</v>
      </c>
      <c r="M741">
        <v>4</v>
      </c>
      <c r="N741" t="s">
        <v>4275</v>
      </c>
      <c r="O741" t="s">
        <v>4281</v>
      </c>
      <c r="P741">
        <v>1546.92</v>
      </c>
    </row>
    <row r="742" spans="1:16" x14ac:dyDescent="0.3">
      <c r="A742" t="s">
        <v>754</v>
      </c>
      <c r="B742" s="3">
        <v>45493</v>
      </c>
      <c r="C742" s="7" t="str">
        <f t="shared" si="22"/>
        <v>2024</v>
      </c>
      <c r="D742" s="7" t="str">
        <f t="shared" si="23"/>
        <v>Jul</v>
      </c>
      <c r="E742" s="6" t="s">
        <v>1951</v>
      </c>
      <c r="F742" s="5" t="s">
        <v>2409</v>
      </c>
      <c r="G742">
        <v>2</v>
      </c>
      <c r="H742">
        <v>377.47</v>
      </c>
      <c r="I742" s="6" t="s">
        <v>2749</v>
      </c>
      <c r="J742" s="6" t="s">
        <v>3069</v>
      </c>
      <c r="K742" s="6" t="s">
        <v>3074</v>
      </c>
      <c r="L742" t="s">
        <v>3815</v>
      </c>
      <c r="M742">
        <v>7</v>
      </c>
      <c r="N742" t="s">
        <v>4285</v>
      </c>
      <c r="O742" t="s">
        <v>4282</v>
      </c>
      <c r="P742">
        <v>754.94</v>
      </c>
    </row>
    <row r="743" spans="1:16" x14ac:dyDescent="0.3">
      <c r="A743" t="s">
        <v>755</v>
      </c>
      <c r="B743" s="3">
        <v>45680</v>
      </c>
      <c r="C743" s="7" t="str">
        <f t="shared" si="22"/>
        <v>2025</v>
      </c>
      <c r="D743" s="7" t="str">
        <f t="shared" si="23"/>
        <v>Jan</v>
      </c>
      <c r="E743" s="6" t="s">
        <v>1952</v>
      </c>
      <c r="F743" s="5" t="s">
        <v>2403</v>
      </c>
      <c r="G743">
        <v>5</v>
      </c>
      <c r="H743">
        <v>332.64</v>
      </c>
      <c r="I743" s="6" t="s">
        <v>2899</v>
      </c>
      <c r="J743" s="6" t="s">
        <v>3068</v>
      </c>
      <c r="K743" s="6" t="s">
        <v>3073</v>
      </c>
      <c r="L743" t="s">
        <v>3816</v>
      </c>
      <c r="M743">
        <v>10</v>
      </c>
      <c r="N743" t="s">
        <v>4285</v>
      </c>
      <c r="O743" t="s">
        <v>4279</v>
      </c>
      <c r="P743">
        <v>1663.2</v>
      </c>
    </row>
    <row r="744" spans="1:16" x14ac:dyDescent="0.3">
      <c r="A744" t="s">
        <v>756</v>
      </c>
      <c r="B744" s="3">
        <v>45626</v>
      </c>
      <c r="C744" s="7" t="str">
        <f t="shared" si="22"/>
        <v>2024</v>
      </c>
      <c r="D744" s="7" t="str">
        <f t="shared" si="23"/>
        <v>Nov</v>
      </c>
      <c r="E744" s="6" t="s">
        <v>1953</v>
      </c>
      <c r="F744" s="5" t="s">
        <v>2408</v>
      </c>
      <c r="G744">
        <v>3</v>
      </c>
      <c r="H744">
        <v>699.93</v>
      </c>
      <c r="I744" s="6" t="s">
        <v>2664</v>
      </c>
      <c r="J744" s="6" t="s">
        <v>3069</v>
      </c>
      <c r="K744" s="6" t="s">
        <v>3072</v>
      </c>
      <c r="L744" t="s">
        <v>3817</v>
      </c>
      <c r="M744">
        <v>7</v>
      </c>
      <c r="N744" t="s">
        <v>4275</v>
      </c>
      <c r="O744" t="s">
        <v>4282</v>
      </c>
      <c r="P744">
        <v>2099.79</v>
      </c>
    </row>
    <row r="745" spans="1:16" x14ac:dyDescent="0.3">
      <c r="A745" t="s">
        <v>757</v>
      </c>
      <c r="B745" s="3">
        <v>45565</v>
      </c>
      <c r="C745" s="7" t="str">
        <f t="shared" si="22"/>
        <v>2024</v>
      </c>
      <c r="D745" s="7" t="str">
        <f t="shared" si="23"/>
        <v>Sept</v>
      </c>
      <c r="E745" s="6" t="s">
        <v>1954</v>
      </c>
      <c r="F745" s="5" t="s">
        <v>2403</v>
      </c>
      <c r="G745">
        <v>1</v>
      </c>
      <c r="H745">
        <v>576.35</v>
      </c>
      <c r="I745" s="6" t="s">
        <v>2448</v>
      </c>
      <c r="J745" s="6" t="s">
        <v>3068</v>
      </c>
      <c r="K745" s="6" t="s">
        <v>3072</v>
      </c>
      <c r="L745" t="s">
        <v>3818</v>
      </c>
      <c r="M745">
        <v>1</v>
      </c>
      <c r="N745" t="s">
        <v>4277</v>
      </c>
      <c r="O745" t="s">
        <v>4278</v>
      </c>
      <c r="P745">
        <v>576.35</v>
      </c>
    </row>
    <row r="746" spans="1:16" x14ac:dyDescent="0.3">
      <c r="A746" t="s">
        <v>758</v>
      </c>
      <c r="B746" s="3">
        <v>45455</v>
      </c>
      <c r="C746" s="7" t="str">
        <f t="shared" si="22"/>
        <v>2024</v>
      </c>
      <c r="D746" s="7" t="str">
        <f t="shared" si="23"/>
        <v>Jun</v>
      </c>
      <c r="E746" s="6" t="s">
        <v>1955</v>
      </c>
      <c r="F746" s="5" t="s">
        <v>2405</v>
      </c>
      <c r="G746">
        <v>2</v>
      </c>
      <c r="H746">
        <v>461.37</v>
      </c>
      <c r="I746" s="6" t="s">
        <v>2900</v>
      </c>
      <c r="J746" s="6" t="s">
        <v>3069</v>
      </c>
      <c r="K746" s="6" t="s">
        <v>3073</v>
      </c>
      <c r="L746" t="s">
        <v>3819</v>
      </c>
      <c r="M746">
        <v>5</v>
      </c>
      <c r="N746" t="s">
        <v>4275</v>
      </c>
      <c r="O746" t="s">
        <v>4282</v>
      </c>
      <c r="P746">
        <v>922.74</v>
      </c>
    </row>
    <row r="747" spans="1:16" x14ac:dyDescent="0.3">
      <c r="A747" t="s">
        <v>759</v>
      </c>
      <c r="B747" s="3">
        <v>44987</v>
      </c>
      <c r="C747" s="7" t="str">
        <f t="shared" si="22"/>
        <v>2023</v>
      </c>
      <c r="D747" s="7" t="str">
        <f t="shared" si="23"/>
        <v>Mar</v>
      </c>
      <c r="E747" s="6" t="s">
        <v>1956</v>
      </c>
      <c r="F747" s="5" t="s">
        <v>2407</v>
      </c>
      <c r="G747">
        <v>4</v>
      </c>
      <c r="H747">
        <v>111.3</v>
      </c>
      <c r="I747" s="6" t="s">
        <v>2901</v>
      </c>
      <c r="J747" s="6" t="s">
        <v>3065</v>
      </c>
      <c r="K747" s="6" t="s">
        <v>3074</v>
      </c>
      <c r="L747" t="s">
        <v>3820</v>
      </c>
      <c r="M747">
        <v>7</v>
      </c>
      <c r="N747" t="s">
        <v>4276</v>
      </c>
      <c r="O747" t="s">
        <v>4280</v>
      </c>
      <c r="P747">
        <v>445.2</v>
      </c>
    </row>
    <row r="748" spans="1:16" x14ac:dyDescent="0.3">
      <c r="A748" t="s">
        <v>760</v>
      </c>
      <c r="B748" s="3">
        <v>45712</v>
      </c>
      <c r="C748" s="7" t="str">
        <f t="shared" si="22"/>
        <v>2025</v>
      </c>
      <c r="D748" s="7" t="str">
        <f t="shared" si="23"/>
        <v>Feb</v>
      </c>
      <c r="E748" s="6" t="s">
        <v>1957</v>
      </c>
      <c r="F748" s="5" t="s">
        <v>2409</v>
      </c>
      <c r="G748">
        <v>3</v>
      </c>
      <c r="H748">
        <v>661.89</v>
      </c>
      <c r="I748" s="6" t="s">
        <v>2902</v>
      </c>
      <c r="J748" s="6" t="s">
        <v>3066</v>
      </c>
      <c r="K748" s="6" t="s">
        <v>3071</v>
      </c>
      <c r="L748" t="s">
        <v>3821</v>
      </c>
      <c r="M748">
        <v>6</v>
      </c>
      <c r="N748" t="s">
        <v>4277</v>
      </c>
      <c r="O748" t="s">
        <v>4279</v>
      </c>
      <c r="P748">
        <v>1985.67</v>
      </c>
    </row>
    <row r="749" spans="1:16" x14ac:dyDescent="0.3">
      <c r="A749" t="s">
        <v>761</v>
      </c>
      <c r="B749" s="3">
        <v>45728</v>
      </c>
      <c r="C749" s="7" t="str">
        <f t="shared" si="22"/>
        <v>2025</v>
      </c>
      <c r="D749" s="7" t="str">
        <f t="shared" si="23"/>
        <v>Mar</v>
      </c>
      <c r="E749" s="6" t="s">
        <v>1958</v>
      </c>
      <c r="F749" s="5" t="s">
        <v>2405</v>
      </c>
      <c r="G749">
        <v>2</v>
      </c>
      <c r="H749">
        <v>259.58</v>
      </c>
      <c r="I749" s="6" t="s">
        <v>2903</v>
      </c>
      <c r="J749" s="6" t="s">
        <v>3065</v>
      </c>
      <c r="K749" s="6" t="s">
        <v>3073</v>
      </c>
      <c r="L749" t="s">
        <v>3822</v>
      </c>
      <c r="M749">
        <v>7</v>
      </c>
      <c r="N749" t="s">
        <v>4276</v>
      </c>
      <c r="O749" t="s">
        <v>4278</v>
      </c>
      <c r="P749">
        <v>519.16</v>
      </c>
    </row>
    <row r="750" spans="1:16" x14ac:dyDescent="0.3">
      <c r="A750" t="s">
        <v>762</v>
      </c>
      <c r="B750" s="3">
        <v>45488</v>
      </c>
      <c r="C750" s="7" t="str">
        <f t="shared" si="22"/>
        <v>2024</v>
      </c>
      <c r="D750" s="7" t="str">
        <f t="shared" si="23"/>
        <v>Jul</v>
      </c>
      <c r="E750" s="6" t="s">
        <v>1959</v>
      </c>
      <c r="F750" s="5" t="s">
        <v>2405</v>
      </c>
      <c r="G750">
        <v>3</v>
      </c>
      <c r="H750">
        <v>70.81</v>
      </c>
      <c r="I750" s="6" t="s">
        <v>2789</v>
      </c>
      <c r="J750" s="6" t="s">
        <v>3067</v>
      </c>
      <c r="K750" s="6" t="s">
        <v>3070</v>
      </c>
      <c r="L750" t="s">
        <v>3823</v>
      </c>
      <c r="M750">
        <v>8</v>
      </c>
      <c r="N750" t="s">
        <v>4276</v>
      </c>
      <c r="O750" t="s">
        <v>4279</v>
      </c>
      <c r="P750">
        <v>212.43</v>
      </c>
    </row>
    <row r="751" spans="1:16" x14ac:dyDescent="0.3">
      <c r="A751" t="s">
        <v>763</v>
      </c>
      <c r="B751" s="3">
        <v>45760</v>
      </c>
      <c r="C751" s="7" t="str">
        <f t="shared" si="22"/>
        <v>2025</v>
      </c>
      <c r="D751" s="7" t="str">
        <f t="shared" si="23"/>
        <v>Apr</v>
      </c>
      <c r="E751" s="6" t="s">
        <v>1960</v>
      </c>
      <c r="F751" s="5" t="s">
        <v>2408</v>
      </c>
      <c r="G751">
        <v>1</v>
      </c>
      <c r="H751">
        <v>518.39</v>
      </c>
      <c r="I751" s="6" t="s">
        <v>2904</v>
      </c>
      <c r="J751" s="6" t="s">
        <v>3065</v>
      </c>
      <c r="K751" s="6" t="s">
        <v>3074</v>
      </c>
      <c r="L751" t="s">
        <v>3824</v>
      </c>
      <c r="M751">
        <v>4</v>
      </c>
      <c r="N751" t="s">
        <v>4276</v>
      </c>
      <c r="O751" t="s">
        <v>4278</v>
      </c>
      <c r="P751">
        <v>518.39</v>
      </c>
    </row>
    <row r="752" spans="1:16" x14ac:dyDescent="0.3">
      <c r="A752" t="s">
        <v>764</v>
      </c>
      <c r="B752" s="3">
        <v>44940</v>
      </c>
      <c r="C752" s="7" t="str">
        <f t="shared" si="22"/>
        <v>2023</v>
      </c>
      <c r="D752" s="7" t="str">
        <f t="shared" si="23"/>
        <v>Jan</v>
      </c>
      <c r="E752" s="6" t="s">
        <v>1961</v>
      </c>
      <c r="F752" s="5" t="s">
        <v>2405</v>
      </c>
      <c r="G752">
        <v>4</v>
      </c>
      <c r="H752">
        <v>145.41</v>
      </c>
      <c r="I752" s="6" t="s">
        <v>2905</v>
      </c>
      <c r="J752" s="6" t="s">
        <v>3067</v>
      </c>
      <c r="K752" s="6" t="s">
        <v>3072</v>
      </c>
      <c r="L752" t="s">
        <v>3825</v>
      </c>
      <c r="M752">
        <v>7</v>
      </c>
      <c r="N752" t="s">
        <v>4276</v>
      </c>
      <c r="O752" t="s">
        <v>4280</v>
      </c>
      <c r="P752">
        <v>581.64</v>
      </c>
    </row>
    <row r="753" spans="1:16" x14ac:dyDescent="0.3">
      <c r="A753" t="s">
        <v>765</v>
      </c>
      <c r="B753" s="3">
        <v>44950</v>
      </c>
      <c r="C753" s="7" t="str">
        <f t="shared" si="22"/>
        <v>2023</v>
      </c>
      <c r="D753" s="7" t="str">
        <f t="shared" si="23"/>
        <v>Jan</v>
      </c>
      <c r="E753" s="6" t="s">
        <v>1962</v>
      </c>
      <c r="F753" s="5" t="s">
        <v>2405</v>
      </c>
      <c r="G753">
        <v>2</v>
      </c>
      <c r="H753">
        <v>599.86</v>
      </c>
      <c r="I753" s="6" t="s">
        <v>2906</v>
      </c>
      <c r="J753" s="6" t="s">
        <v>3068</v>
      </c>
      <c r="K753" s="6" t="s">
        <v>3074</v>
      </c>
      <c r="L753" t="s">
        <v>3826</v>
      </c>
      <c r="M753">
        <v>7</v>
      </c>
      <c r="N753" t="s">
        <v>4276</v>
      </c>
      <c r="O753" t="s">
        <v>4281</v>
      </c>
      <c r="P753">
        <v>1199.72</v>
      </c>
    </row>
    <row r="754" spans="1:16" x14ac:dyDescent="0.3">
      <c r="A754" t="s">
        <v>766</v>
      </c>
      <c r="B754" s="3">
        <v>45568</v>
      </c>
      <c r="C754" s="7" t="str">
        <f t="shared" si="22"/>
        <v>2024</v>
      </c>
      <c r="D754" s="7" t="str">
        <f t="shared" si="23"/>
        <v>Oct</v>
      </c>
      <c r="E754" s="6" t="s">
        <v>1963</v>
      </c>
      <c r="F754" s="5" t="s">
        <v>2404</v>
      </c>
      <c r="G754">
        <v>4</v>
      </c>
      <c r="H754">
        <v>429.37</v>
      </c>
      <c r="I754" s="6" t="s">
        <v>2648</v>
      </c>
      <c r="J754" s="6" t="s">
        <v>3067</v>
      </c>
      <c r="K754" s="6" t="s">
        <v>3073</v>
      </c>
      <c r="L754" t="s">
        <v>3827</v>
      </c>
      <c r="M754">
        <v>8</v>
      </c>
      <c r="N754" t="s">
        <v>4276</v>
      </c>
      <c r="O754" t="s">
        <v>4282</v>
      </c>
      <c r="P754">
        <v>1717.48</v>
      </c>
    </row>
    <row r="755" spans="1:16" x14ac:dyDescent="0.3">
      <c r="A755" t="s">
        <v>767</v>
      </c>
      <c r="B755" s="3">
        <v>45406</v>
      </c>
      <c r="C755" s="7" t="str">
        <f t="shared" si="22"/>
        <v>2024</v>
      </c>
      <c r="D755" s="7" t="str">
        <f t="shared" si="23"/>
        <v>Apr</v>
      </c>
      <c r="E755" s="6" t="s">
        <v>1964</v>
      </c>
      <c r="F755" s="5" t="s">
        <v>2404</v>
      </c>
      <c r="G755">
        <v>2</v>
      </c>
      <c r="H755">
        <v>241.49</v>
      </c>
      <c r="I755" s="6" t="s">
        <v>2907</v>
      </c>
      <c r="J755" s="6" t="s">
        <v>3065</v>
      </c>
      <c r="K755" s="6" t="s">
        <v>3072</v>
      </c>
      <c r="L755" t="s">
        <v>3828</v>
      </c>
      <c r="M755">
        <v>7</v>
      </c>
      <c r="N755" t="s">
        <v>4276</v>
      </c>
      <c r="O755" t="s">
        <v>4278</v>
      </c>
      <c r="P755">
        <v>482.98</v>
      </c>
    </row>
    <row r="756" spans="1:16" x14ac:dyDescent="0.3">
      <c r="A756" t="s">
        <v>768</v>
      </c>
      <c r="B756" s="3">
        <v>45808</v>
      </c>
      <c r="C756" s="7" t="str">
        <f t="shared" si="22"/>
        <v>2025</v>
      </c>
      <c r="D756" s="7" t="str">
        <f t="shared" si="23"/>
        <v>May</v>
      </c>
      <c r="E756" s="6" t="s">
        <v>1965</v>
      </c>
      <c r="F756" s="5" t="s">
        <v>2407</v>
      </c>
      <c r="G756">
        <v>2</v>
      </c>
      <c r="H756">
        <v>452.05</v>
      </c>
      <c r="I756" s="6" t="s">
        <v>2908</v>
      </c>
      <c r="J756" s="6" t="s">
        <v>3067</v>
      </c>
      <c r="K756" s="6" t="s">
        <v>3072</v>
      </c>
      <c r="L756" t="s">
        <v>3829</v>
      </c>
      <c r="M756">
        <v>3</v>
      </c>
      <c r="N756" t="s">
        <v>4277</v>
      </c>
      <c r="O756" t="s">
        <v>4280</v>
      </c>
      <c r="P756">
        <v>904.1</v>
      </c>
    </row>
    <row r="757" spans="1:16" x14ac:dyDescent="0.3">
      <c r="A757" t="s">
        <v>769</v>
      </c>
      <c r="B757" s="3">
        <v>45090</v>
      </c>
      <c r="C757" s="7" t="str">
        <f t="shared" si="22"/>
        <v>2023</v>
      </c>
      <c r="D757" s="7" t="str">
        <f t="shared" si="23"/>
        <v>Jun</v>
      </c>
      <c r="E757" s="6" t="s">
        <v>1966</v>
      </c>
      <c r="F757" s="5" t="s">
        <v>2409</v>
      </c>
      <c r="G757">
        <v>3</v>
      </c>
      <c r="H757">
        <v>336.71</v>
      </c>
      <c r="I757" s="6" t="s">
        <v>2909</v>
      </c>
      <c r="J757" s="6" t="s">
        <v>3067</v>
      </c>
      <c r="K757" s="6" t="s">
        <v>3074</v>
      </c>
      <c r="L757" t="s">
        <v>3830</v>
      </c>
      <c r="M757">
        <v>4</v>
      </c>
      <c r="N757" t="s">
        <v>4285</v>
      </c>
      <c r="O757" t="s">
        <v>4280</v>
      </c>
      <c r="P757">
        <v>1010.13</v>
      </c>
    </row>
    <row r="758" spans="1:16" x14ac:dyDescent="0.3">
      <c r="A758" t="s">
        <v>770</v>
      </c>
      <c r="B758" s="3">
        <v>45470</v>
      </c>
      <c r="C758" s="7" t="str">
        <f t="shared" si="22"/>
        <v>2024</v>
      </c>
      <c r="D758" s="7" t="str">
        <f t="shared" si="23"/>
        <v>Jun</v>
      </c>
      <c r="E758" s="6" t="s">
        <v>1967</v>
      </c>
      <c r="F758" s="5" t="s">
        <v>2404</v>
      </c>
      <c r="G758">
        <v>1</v>
      </c>
      <c r="H758">
        <v>283.69</v>
      </c>
      <c r="I758" s="6" t="s">
        <v>2464</v>
      </c>
      <c r="J758" s="6" t="s">
        <v>3068</v>
      </c>
      <c r="K758" s="6" t="s">
        <v>3070</v>
      </c>
      <c r="L758" t="s">
        <v>3831</v>
      </c>
      <c r="M758">
        <v>6</v>
      </c>
      <c r="N758" t="s">
        <v>4285</v>
      </c>
      <c r="O758" t="s">
        <v>4282</v>
      </c>
      <c r="P758">
        <v>283.69</v>
      </c>
    </row>
    <row r="759" spans="1:16" x14ac:dyDescent="0.3">
      <c r="A759" t="s">
        <v>771</v>
      </c>
      <c r="B759" s="3">
        <v>45344</v>
      </c>
      <c r="C759" s="7" t="str">
        <f t="shared" si="22"/>
        <v>2024</v>
      </c>
      <c r="D759" s="7" t="str">
        <f t="shared" si="23"/>
        <v>Feb</v>
      </c>
      <c r="E759" s="6" t="s">
        <v>1968</v>
      </c>
      <c r="F759" s="5" t="s">
        <v>2409</v>
      </c>
      <c r="G759">
        <v>1</v>
      </c>
      <c r="H759">
        <v>157.72</v>
      </c>
      <c r="I759" s="6" t="s">
        <v>2581</v>
      </c>
      <c r="J759" s="6" t="s">
        <v>3065</v>
      </c>
      <c r="K759" s="6" t="s">
        <v>3073</v>
      </c>
      <c r="L759" t="s">
        <v>3832</v>
      </c>
      <c r="M759">
        <v>2</v>
      </c>
      <c r="N759" t="s">
        <v>4276</v>
      </c>
      <c r="O759" t="s">
        <v>4282</v>
      </c>
      <c r="P759">
        <v>157.72</v>
      </c>
    </row>
    <row r="760" spans="1:16" x14ac:dyDescent="0.3">
      <c r="A760" t="s">
        <v>772</v>
      </c>
      <c r="B760" s="3">
        <v>45011</v>
      </c>
      <c r="C760" s="7" t="str">
        <f t="shared" si="22"/>
        <v>2023</v>
      </c>
      <c r="D760" s="7" t="str">
        <f t="shared" si="23"/>
        <v>Mar</v>
      </c>
      <c r="E760" s="6" t="s">
        <v>1969</v>
      </c>
      <c r="F760" s="5" t="s">
        <v>2405</v>
      </c>
      <c r="G760">
        <v>3</v>
      </c>
      <c r="H760">
        <v>624.84</v>
      </c>
      <c r="I760" s="6" t="s">
        <v>2479</v>
      </c>
      <c r="J760" s="6" t="s">
        <v>3067</v>
      </c>
      <c r="K760" s="6" t="s">
        <v>3071</v>
      </c>
      <c r="L760" t="s">
        <v>3833</v>
      </c>
      <c r="M760">
        <v>8</v>
      </c>
      <c r="N760" t="s">
        <v>4277</v>
      </c>
      <c r="O760" t="s">
        <v>4281</v>
      </c>
      <c r="P760">
        <v>1874.52</v>
      </c>
    </row>
    <row r="761" spans="1:16" x14ac:dyDescent="0.3">
      <c r="A761" t="s">
        <v>773</v>
      </c>
      <c r="B761" s="3">
        <v>45131</v>
      </c>
      <c r="C761" s="7" t="str">
        <f t="shared" si="22"/>
        <v>2023</v>
      </c>
      <c r="D761" s="7" t="str">
        <f t="shared" si="23"/>
        <v>Jul</v>
      </c>
      <c r="E761" s="6" t="s">
        <v>1970</v>
      </c>
      <c r="F761" s="5" t="s">
        <v>2409</v>
      </c>
      <c r="G761">
        <v>3</v>
      </c>
      <c r="H761">
        <v>308.01</v>
      </c>
      <c r="I761" s="6" t="s">
        <v>2910</v>
      </c>
      <c r="J761" s="6" t="s">
        <v>3069</v>
      </c>
      <c r="K761" s="6" t="s">
        <v>3074</v>
      </c>
      <c r="L761" t="s">
        <v>3834</v>
      </c>
      <c r="M761">
        <v>3</v>
      </c>
      <c r="N761" t="s">
        <v>4276</v>
      </c>
      <c r="O761" t="s">
        <v>4281</v>
      </c>
      <c r="P761">
        <v>924.03</v>
      </c>
    </row>
    <row r="762" spans="1:16" x14ac:dyDescent="0.3">
      <c r="A762" t="s">
        <v>774</v>
      </c>
      <c r="B762" s="3">
        <v>45706</v>
      </c>
      <c r="C762" s="7" t="str">
        <f t="shared" si="22"/>
        <v>2025</v>
      </c>
      <c r="D762" s="7" t="str">
        <f t="shared" si="23"/>
        <v>Feb</v>
      </c>
      <c r="E762" s="6" t="s">
        <v>1971</v>
      </c>
      <c r="F762" s="5" t="s">
        <v>2409</v>
      </c>
      <c r="G762">
        <v>1</v>
      </c>
      <c r="H762">
        <v>39.56</v>
      </c>
      <c r="I762" s="6" t="s">
        <v>2570</v>
      </c>
      <c r="J762" s="6" t="s">
        <v>3065</v>
      </c>
      <c r="K762" s="6" t="s">
        <v>3071</v>
      </c>
      <c r="L762" t="s">
        <v>3835</v>
      </c>
      <c r="M762">
        <v>5</v>
      </c>
      <c r="N762" t="s">
        <v>4285</v>
      </c>
      <c r="O762" t="s">
        <v>4282</v>
      </c>
      <c r="P762">
        <v>39.56</v>
      </c>
    </row>
    <row r="763" spans="1:16" x14ac:dyDescent="0.3">
      <c r="A763" t="s">
        <v>775</v>
      </c>
      <c r="B763" s="3">
        <v>45079</v>
      </c>
      <c r="C763" s="7" t="str">
        <f t="shared" si="22"/>
        <v>2023</v>
      </c>
      <c r="D763" s="7" t="str">
        <f t="shared" si="23"/>
        <v>Jun</v>
      </c>
      <c r="E763" s="6" t="s">
        <v>1972</v>
      </c>
      <c r="F763" s="5" t="s">
        <v>2409</v>
      </c>
      <c r="G763">
        <v>4</v>
      </c>
      <c r="H763">
        <v>37.76</v>
      </c>
      <c r="I763" s="6" t="s">
        <v>2911</v>
      </c>
      <c r="J763" s="6" t="s">
        <v>3065</v>
      </c>
      <c r="K763" s="6" t="s">
        <v>3073</v>
      </c>
      <c r="L763" t="s">
        <v>3836</v>
      </c>
      <c r="M763">
        <v>7</v>
      </c>
      <c r="N763" t="s">
        <v>4285</v>
      </c>
      <c r="O763" t="s">
        <v>4282</v>
      </c>
      <c r="P763">
        <v>151.04</v>
      </c>
    </row>
    <row r="764" spans="1:16" x14ac:dyDescent="0.3">
      <c r="A764" t="s">
        <v>776</v>
      </c>
      <c r="B764" s="3">
        <v>45552</v>
      </c>
      <c r="C764" s="7" t="str">
        <f t="shared" si="22"/>
        <v>2024</v>
      </c>
      <c r="D764" s="7" t="str">
        <f t="shared" si="23"/>
        <v>Sept</v>
      </c>
      <c r="E764" s="6" t="s">
        <v>1973</v>
      </c>
      <c r="F764" s="5" t="s">
        <v>2404</v>
      </c>
      <c r="G764">
        <v>3</v>
      </c>
      <c r="H764">
        <v>76.959999999999994</v>
      </c>
      <c r="I764" s="6" t="s">
        <v>2494</v>
      </c>
      <c r="J764" s="6" t="s">
        <v>3069</v>
      </c>
      <c r="K764" s="6" t="s">
        <v>3072</v>
      </c>
      <c r="L764" t="s">
        <v>3837</v>
      </c>
      <c r="M764">
        <v>8</v>
      </c>
      <c r="N764" t="s">
        <v>4276</v>
      </c>
      <c r="O764" t="s">
        <v>4280</v>
      </c>
      <c r="P764">
        <v>230.88</v>
      </c>
    </row>
    <row r="765" spans="1:16" x14ac:dyDescent="0.3">
      <c r="A765" t="s">
        <v>777</v>
      </c>
      <c r="B765" s="3">
        <v>45022</v>
      </c>
      <c r="C765" s="7" t="str">
        <f t="shared" si="22"/>
        <v>2023</v>
      </c>
      <c r="D765" s="7" t="str">
        <f t="shared" si="23"/>
        <v>Apr</v>
      </c>
      <c r="E765" s="6" t="s">
        <v>1974</v>
      </c>
      <c r="F765" s="5" t="s">
        <v>2408</v>
      </c>
      <c r="G765">
        <v>1</v>
      </c>
      <c r="H765">
        <v>569.96</v>
      </c>
      <c r="I765" s="6" t="s">
        <v>2501</v>
      </c>
      <c r="J765" s="6" t="s">
        <v>3066</v>
      </c>
      <c r="K765" s="6" t="s">
        <v>3073</v>
      </c>
      <c r="L765" t="s">
        <v>3838</v>
      </c>
      <c r="M765">
        <v>4</v>
      </c>
      <c r="N765" t="s">
        <v>4276</v>
      </c>
      <c r="O765" t="s">
        <v>4280</v>
      </c>
      <c r="P765">
        <v>569.96</v>
      </c>
    </row>
    <row r="766" spans="1:16" x14ac:dyDescent="0.3">
      <c r="A766" t="s">
        <v>778</v>
      </c>
      <c r="B766" s="3">
        <v>45361</v>
      </c>
      <c r="C766" s="7" t="str">
        <f t="shared" si="22"/>
        <v>2024</v>
      </c>
      <c r="D766" s="7" t="str">
        <f t="shared" si="23"/>
        <v>Mar</v>
      </c>
      <c r="E766" s="6" t="s">
        <v>1975</v>
      </c>
      <c r="F766" s="5" t="s">
        <v>2408</v>
      </c>
      <c r="G766">
        <v>5</v>
      </c>
      <c r="H766">
        <v>627.42999999999995</v>
      </c>
      <c r="I766" s="6" t="s">
        <v>2565</v>
      </c>
      <c r="J766" s="6" t="s">
        <v>3067</v>
      </c>
      <c r="K766" s="6" t="s">
        <v>3071</v>
      </c>
      <c r="L766" t="s">
        <v>3839</v>
      </c>
      <c r="M766">
        <v>10</v>
      </c>
      <c r="N766" t="s">
        <v>4276</v>
      </c>
      <c r="O766" t="s">
        <v>4280</v>
      </c>
      <c r="P766">
        <v>3137.15</v>
      </c>
    </row>
    <row r="767" spans="1:16" x14ac:dyDescent="0.3">
      <c r="A767" t="s">
        <v>779</v>
      </c>
      <c r="B767" s="3">
        <v>45205</v>
      </c>
      <c r="C767" s="7" t="str">
        <f t="shared" si="22"/>
        <v>2023</v>
      </c>
      <c r="D767" s="7" t="str">
        <f t="shared" si="23"/>
        <v>Oct</v>
      </c>
      <c r="E767" s="6" t="s">
        <v>1976</v>
      </c>
      <c r="F767" s="5" t="s">
        <v>2408</v>
      </c>
      <c r="G767">
        <v>2</v>
      </c>
      <c r="H767">
        <v>534.91</v>
      </c>
      <c r="I767" s="6" t="s">
        <v>2888</v>
      </c>
      <c r="J767" s="6" t="s">
        <v>3065</v>
      </c>
      <c r="K767" s="6" t="s">
        <v>3072</v>
      </c>
      <c r="L767" t="s">
        <v>3840</v>
      </c>
      <c r="M767">
        <v>5</v>
      </c>
      <c r="N767" t="s">
        <v>4275</v>
      </c>
      <c r="O767" t="s">
        <v>4282</v>
      </c>
      <c r="P767">
        <v>1069.82</v>
      </c>
    </row>
    <row r="768" spans="1:16" x14ac:dyDescent="0.3">
      <c r="A768" t="s">
        <v>780</v>
      </c>
      <c r="B768" s="3">
        <v>44948</v>
      </c>
      <c r="C768" s="7" t="str">
        <f t="shared" si="22"/>
        <v>2023</v>
      </c>
      <c r="D768" s="7" t="str">
        <f t="shared" si="23"/>
        <v>Jan</v>
      </c>
      <c r="E768" s="6" t="s">
        <v>1977</v>
      </c>
      <c r="F768" s="5" t="s">
        <v>2407</v>
      </c>
      <c r="G768">
        <v>2</v>
      </c>
      <c r="H768">
        <v>278.88</v>
      </c>
      <c r="I768" s="6" t="s">
        <v>2704</v>
      </c>
      <c r="J768" s="6" t="s">
        <v>3065</v>
      </c>
      <c r="K768" s="6" t="s">
        <v>3074</v>
      </c>
      <c r="L768" t="s">
        <v>3841</v>
      </c>
      <c r="M768">
        <v>3</v>
      </c>
      <c r="N768" t="s">
        <v>4276</v>
      </c>
      <c r="O768" t="s">
        <v>4279</v>
      </c>
      <c r="P768">
        <v>557.76</v>
      </c>
    </row>
    <row r="769" spans="1:16" x14ac:dyDescent="0.3">
      <c r="A769" t="s">
        <v>781</v>
      </c>
      <c r="B769" s="3">
        <v>45765</v>
      </c>
      <c r="C769" s="7" t="str">
        <f t="shared" si="22"/>
        <v>2025</v>
      </c>
      <c r="D769" s="7" t="str">
        <f t="shared" si="23"/>
        <v>Apr</v>
      </c>
      <c r="E769" s="6" t="s">
        <v>1978</v>
      </c>
      <c r="F769" s="5" t="s">
        <v>2405</v>
      </c>
      <c r="G769">
        <v>2</v>
      </c>
      <c r="H769">
        <v>323.22000000000003</v>
      </c>
      <c r="I769" s="6" t="s">
        <v>2912</v>
      </c>
      <c r="J769" s="6" t="s">
        <v>3067</v>
      </c>
      <c r="K769" s="6" t="s">
        <v>3073</v>
      </c>
      <c r="L769" t="s">
        <v>3842</v>
      </c>
      <c r="M769">
        <v>7</v>
      </c>
      <c r="N769" t="s">
        <v>4285</v>
      </c>
      <c r="O769" t="s">
        <v>4278</v>
      </c>
      <c r="P769">
        <v>646.44000000000005</v>
      </c>
    </row>
    <row r="770" spans="1:16" x14ac:dyDescent="0.3">
      <c r="A770" t="s">
        <v>782</v>
      </c>
      <c r="B770" s="3">
        <v>45173</v>
      </c>
      <c r="C770" s="7" t="str">
        <f t="shared" ref="C770:C833" si="24">TEXT(B770, "yyyy")</f>
        <v>2023</v>
      </c>
      <c r="D770" s="7" t="str">
        <f t="shared" ref="D770:D833" si="25">TEXT(B770, "MMM")</f>
        <v>Sept</v>
      </c>
      <c r="E770" s="6" t="s">
        <v>1979</v>
      </c>
      <c r="F770" s="5" t="s">
        <v>2405</v>
      </c>
      <c r="G770">
        <v>5</v>
      </c>
      <c r="H770">
        <v>653.46</v>
      </c>
      <c r="I770" s="6" t="s">
        <v>2913</v>
      </c>
      <c r="J770" s="6" t="s">
        <v>3069</v>
      </c>
      <c r="K770" s="6" t="s">
        <v>3071</v>
      </c>
      <c r="L770" t="s">
        <v>3843</v>
      </c>
      <c r="M770">
        <v>9</v>
      </c>
      <c r="N770" t="s">
        <v>4277</v>
      </c>
      <c r="O770" t="s">
        <v>4280</v>
      </c>
      <c r="P770">
        <v>3267.3</v>
      </c>
    </row>
    <row r="771" spans="1:16" x14ac:dyDescent="0.3">
      <c r="A771" t="s">
        <v>783</v>
      </c>
      <c r="B771" s="3">
        <v>45113</v>
      </c>
      <c r="C771" s="7" t="str">
        <f t="shared" si="24"/>
        <v>2023</v>
      </c>
      <c r="D771" s="7" t="str">
        <f t="shared" si="25"/>
        <v>Jul</v>
      </c>
      <c r="E771" s="6" t="s">
        <v>1980</v>
      </c>
      <c r="F771" s="5" t="s">
        <v>2407</v>
      </c>
      <c r="G771">
        <v>4</v>
      </c>
      <c r="H771">
        <v>678.55</v>
      </c>
      <c r="I771" s="6" t="s">
        <v>2438</v>
      </c>
      <c r="J771" s="6" t="s">
        <v>3069</v>
      </c>
      <c r="K771" s="6" t="s">
        <v>3073</v>
      </c>
      <c r="L771" t="s">
        <v>3844</v>
      </c>
      <c r="M771">
        <v>5</v>
      </c>
      <c r="N771" t="s">
        <v>4285</v>
      </c>
      <c r="O771" t="s">
        <v>4280</v>
      </c>
      <c r="P771">
        <v>2714.2</v>
      </c>
    </row>
    <row r="772" spans="1:16" x14ac:dyDescent="0.3">
      <c r="A772" t="s">
        <v>784</v>
      </c>
      <c r="B772" s="3">
        <v>45333</v>
      </c>
      <c r="C772" s="7" t="str">
        <f t="shared" si="24"/>
        <v>2024</v>
      </c>
      <c r="D772" s="7" t="str">
        <f t="shared" si="25"/>
        <v>Feb</v>
      </c>
      <c r="E772" s="6" t="s">
        <v>1981</v>
      </c>
      <c r="F772" s="5" t="s">
        <v>2409</v>
      </c>
      <c r="G772">
        <v>1</v>
      </c>
      <c r="H772">
        <v>314.38</v>
      </c>
      <c r="I772" s="6" t="s">
        <v>2757</v>
      </c>
      <c r="J772" s="6" t="s">
        <v>3066</v>
      </c>
      <c r="K772" s="6" t="s">
        <v>3072</v>
      </c>
      <c r="L772" t="s">
        <v>3845</v>
      </c>
      <c r="M772">
        <v>6</v>
      </c>
      <c r="N772" t="s">
        <v>4285</v>
      </c>
      <c r="O772" t="s">
        <v>4282</v>
      </c>
      <c r="P772">
        <v>314.38</v>
      </c>
    </row>
    <row r="773" spans="1:16" x14ac:dyDescent="0.3">
      <c r="A773" t="s">
        <v>785</v>
      </c>
      <c r="B773" s="3">
        <v>45455</v>
      </c>
      <c r="C773" s="7" t="str">
        <f t="shared" si="24"/>
        <v>2024</v>
      </c>
      <c r="D773" s="7" t="str">
        <f t="shared" si="25"/>
        <v>Jun</v>
      </c>
      <c r="E773" s="6" t="s">
        <v>1982</v>
      </c>
      <c r="F773" s="5" t="s">
        <v>2404</v>
      </c>
      <c r="G773">
        <v>3</v>
      </c>
      <c r="H773">
        <v>692.44</v>
      </c>
      <c r="I773" s="6" t="s">
        <v>2724</v>
      </c>
      <c r="J773" s="6" t="s">
        <v>3065</v>
      </c>
      <c r="K773" s="6" t="s">
        <v>3071</v>
      </c>
      <c r="L773" t="s">
        <v>3846</v>
      </c>
      <c r="M773">
        <v>8</v>
      </c>
      <c r="N773" t="s">
        <v>4276</v>
      </c>
      <c r="O773" t="s">
        <v>4282</v>
      </c>
      <c r="P773">
        <v>2077.3200000000002</v>
      </c>
    </row>
    <row r="774" spans="1:16" x14ac:dyDescent="0.3">
      <c r="A774" t="s">
        <v>786</v>
      </c>
      <c r="B774" s="3">
        <v>45501</v>
      </c>
      <c r="C774" s="7" t="str">
        <f t="shared" si="24"/>
        <v>2024</v>
      </c>
      <c r="D774" s="7" t="str">
        <f t="shared" si="25"/>
        <v>Jul</v>
      </c>
      <c r="E774" s="6" t="s">
        <v>1983</v>
      </c>
      <c r="F774" s="5" t="s">
        <v>2403</v>
      </c>
      <c r="G774">
        <v>1</v>
      </c>
      <c r="H774">
        <v>604.87</v>
      </c>
      <c r="I774" s="6" t="s">
        <v>2914</v>
      </c>
      <c r="J774" s="6" t="s">
        <v>3066</v>
      </c>
      <c r="K774" s="6" t="s">
        <v>3073</v>
      </c>
      <c r="L774" t="s">
        <v>3847</v>
      </c>
      <c r="M774">
        <v>4</v>
      </c>
      <c r="N774" t="s">
        <v>4285</v>
      </c>
      <c r="O774" t="s">
        <v>4278</v>
      </c>
      <c r="P774">
        <v>604.87</v>
      </c>
    </row>
    <row r="775" spans="1:16" x14ac:dyDescent="0.3">
      <c r="A775" t="s">
        <v>787</v>
      </c>
      <c r="B775" s="3">
        <v>45836</v>
      </c>
      <c r="C775" s="7" t="str">
        <f t="shared" si="24"/>
        <v>2025</v>
      </c>
      <c r="D775" s="7" t="str">
        <f t="shared" si="25"/>
        <v>Jun</v>
      </c>
      <c r="E775" s="6" t="s">
        <v>1984</v>
      </c>
      <c r="F775" s="5" t="s">
        <v>2404</v>
      </c>
      <c r="G775">
        <v>2</v>
      </c>
      <c r="H775">
        <v>512.33000000000004</v>
      </c>
      <c r="I775" s="6" t="s">
        <v>2915</v>
      </c>
      <c r="J775" s="6" t="s">
        <v>3069</v>
      </c>
      <c r="K775" s="6" t="s">
        <v>3071</v>
      </c>
      <c r="L775" t="s">
        <v>3848</v>
      </c>
      <c r="M775">
        <v>7</v>
      </c>
      <c r="N775" t="s">
        <v>4285</v>
      </c>
      <c r="O775" t="s">
        <v>4281</v>
      </c>
      <c r="P775">
        <v>1024.6600000000001</v>
      </c>
    </row>
    <row r="776" spans="1:16" x14ac:dyDescent="0.3">
      <c r="A776" t="s">
        <v>788</v>
      </c>
      <c r="B776" s="3">
        <v>45762</v>
      </c>
      <c r="C776" s="7" t="str">
        <f t="shared" si="24"/>
        <v>2025</v>
      </c>
      <c r="D776" s="7" t="str">
        <f t="shared" si="25"/>
        <v>Apr</v>
      </c>
      <c r="E776" s="6" t="s">
        <v>1985</v>
      </c>
      <c r="F776" s="5" t="s">
        <v>2406</v>
      </c>
      <c r="G776">
        <v>3</v>
      </c>
      <c r="H776">
        <v>20.54</v>
      </c>
      <c r="I776" s="6" t="s">
        <v>2916</v>
      </c>
      <c r="J776" s="6" t="s">
        <v>3067</v>
      </c>
      <c r="K776" s="6" t="s">
        <v>3071</v>
      </c>
      <c r="L776" t="s">
        <v>3849</v>
      </c>
      <c r="M776">
        <v>3</v>
      </c>
      <c r="N776" t="s">
        <v>4276</v>
      </c>
      <c r="O776" t="s">
        <v>4278</v>
      </c>
      <c r="P776">
        <v>61.62</v>
      </c>
    </row>
    <row r="777" spans="1:16" x14ac:dyDescent="0.3">
      <c r="A777" t="s">
        <v>789</v>
      </c>
      <c r="B777" s="3">
        <v>44989</v>
      </c>
      <c r="C777" s="7" t="str">
        <f t="shared" si="24"/>
        <v>2023</v>
      </c>
      <c r="D777" s="7" t="str">
        <f t="shared" si="25"/>
        <v>Mar</v>
      </c>
      <c r="E777" s="6" t="s">
        <v>1986</v>
      </c>
      <c r="F777" s="5" t="s">
        <v>2404</v>
      </c>
      <c r="G777">
        <v>2</v>
      </c>
      <c r="H777">
        <v>625.22</v>
      </c>
      <c r="I777" s="6" t="s">
        <v>2431</v>
      </c>
      <c r="J777" s="6" t="s">
        <v>3066</v>
      </c>
      <c r="K777" s="6" t="s">
        <v>3071</v>
      </c>
      <c r="L777" t="s">
        <v>3850</v>
      </c>
      <c r="M777">
        <v>5</v>
      </c>
      <c r="N777" t="s">
        <v>4285</v>
      </c>
      <c r="O777" t="s">
        <v>4282</v>
      </c>
      <c r="P777">
        <v>1250.44</v>
      </c>
    </row>
    <row r="778" spans="1:16" x14ac:dyDescent="0.3">
      <c r="A778" t="s">
        <v>790</v>
      </c>
      <c r="B778" s="3">
        <v>45159</v>
      </c>
      <c r="C778" s="7" t="str">
        <f t="shared" si="24"/>
        <v>2023</v>
      </c>
      <c r="D778" s="7" t="str">
        <f t="shared" si="25"/>
        <v>Aug</v>
      </c>
      <c r="E778" s="6" t="s">
        <v>1987</v>
      </c>
      <c r="F778" s="5" t="s">
        <v>2405</v>
      </c>
      <c r="G778">
        <v>1</v>
      </c>
      <c r="H778">
        <v>21.19</v>
      </c>
      <c r="I778" s="6" t="s">
        <v>2917</v>
      </c>
      <c r="J778" s="6" t="s">
        <v>3069</v>
      </c>
      <c r="K778" s="6" t="s">
        <v>3072</v>
      </c>
      <c r="L778" t="s">
        <v>3851</v>
      </c>
      <c r="M778">
        <v>5</v>
      </c>
      <c r="N778" t="s">
        <v>4277</v>
      </c>
      <c r="O778" t="s">
        <v>4282</v>
      </c>
      <c r="P778">
        <v>21.19</v>
      </c>
    </row>
    <row r="779" spans="1:16" x14ac:dyDescent="0.3">
      <c r="A779" t="s">
        <v>791</v>
      </c>
      <c r="B779" s="3">
        <v>45737</v>
      </c>
      <c r="C779" s="7" t="str">
        <f t="shared" si="24"/>
        <v>2025</v>
      </c>
      <c r="D779" s="7" t="str">
        <f t="shared" si="25"/>
        <v>Mar</v>
      </c>
      <c r="E779" s="6" t="s">
        <v>1988</v>
      </c>
      <c r="F779" s="5" t="s">
        <v>2406</v>
      </c>
      <c r="G779">
        <v>5</v>
      </c>
      <c r="H779">
        <v>64.489999999999995</v>
      </c>
      <c r="I779" s="6" t="s">
        <v>2432</v>
      </c>
      <c r="J779" s="6" t="s">
        <v>3066</v>
      </c>
      <c r="K779" s="6" t="s">
        <v>3071</v>
      </c>
      <c r="L779" t="s">
        <v>3852</v>
      </c>
      <c r="M779">
        <v>7</v>
      </c>
      <c r="N779" t="s">
        <v>4285</v>
      </c>
      <c r="O779" t="s">
        <v>4281</v>
      </c>
      <c r="P779">
        <v>322.45</v>
      </c>
    </row>
    <row r="780" spans="1:16" x14ac:dyDescent="0.3">
      <c r="A780" t="s">
        <v>792</v>
      </c>
      <c r="B780" s="3">
        <v>45044</v>
      </c>
      <c r="C780" s="7" t="str">
        <f t="shared" si="24"/>
        <v>2023</v>
      </c>
      <c r="D780" s="7" t="str">
        <f t="shared" si="25"/>
        <v>Apr</v>
      </c>
      <c r="E780" s="6" t="s">
        <v>1989</v>
      </c>
      <c r="F780" s="5" t="s">
        <v>2408</v>
      </c>
      <c r="G780">
        <v>4</v>
      </c>
      <c r="H780">
        <v>246.85</v>
      </c>
      <c r="I780" s="6" t="s">
        <v>2918</v>
      </c>
      <c r="J780" s="6" t="s">
        <v>3067</v>
      </c>
      <c r="K780" s="6" t="s">
        <v>3070</v>
      </c>
      <c r="L780" t="s">
        <v>3853</v>
      </c>
      <c r="M780">
        <v>8</v>
      </c>
      <c r="N780" t="s">
        <v>4277</v>
      </c>
      <c r="O780" t="s">
        <v>4282</v>
      </c>
      <c r="P780">
        <v>987.4</v>
      </c>
    </row>
    <row r="781" spans="1:16" x14ac:dyDescent="0.3">
      <c r="A781" t="s">
        <v>793</v>
      </c>
      <c r="B781" s="3">
        <v>45261</v>
      </c>
      <c r="C781" s="7" t="str">
        <f t="shared" si="24"/>
        <v>2023</v>
      </c>
      <c r="D781" s="7" t="str">
        <f t="shared" si="25"/>
        <v>Dec</v>
      </c>
      <c r="E781" s="6" t="s">
        <v>1990</v>
      </c>
      <c r="F781" s="5" t="s">
        <v>2404</v>
      </c>
      <c r="G781">
        <v>3</v>
      </c>
      <c r="H781">
        <v>588.74</v>
      </c>
      <c r="I781" s="6" t="s">
        <v>2919</v>
      </c>
      <c r="J781" s="6" t="s">
        <v>3065</v>
      </c>
      <c r="K781" s="6" t="s">
        <v>3074</v>
      </c>
      <c r="L781" t="s">
        <v>3854</v>
      </c>
      <c r="M781">
        <v>8</v>
      </c>
      <c r="N781" t="s">
        <v>4276</v>
      </c>
      <c r="O781" t="s">
        <v>4280</v>
      </c>
      <c r="P781">
        <v>1766.22</v>
      </c>
    </row>
    <row r="782" spans="1:16" x14ac:dyDescent="0.3">
      <c r="A782" t="s">
        <v>794</v>
      </c>
      <c r="B782" s="3">
        <v>45382</v>
      </c>
      <c r="C782" s="7" t="str">
        <f t="shared" si="24"/>
        <v>2024</v>
      </c>
      <c r="D782" s="7" t="str">
        <f t="shared" si="25"/>
        <v>Mar</v>
      </c>
      <c r="E782" s="6" t="s">
        <v>1991</v>
      </c>
      <c r="F782" s="5" t="s">
        <v>2408</v>
      </c>
      <c r="G782">
        <v>4</v>
      </c>
      <c r="H782">
        <v>184.48</v>
      </c>
      <c r="I782" s="6" t="s">
        <v>2755</v>
      </c>
      <c r="J782" s="6" t="s">
        <v>3066</v>
      </c>
      <c r="K782" s="6" t="s">
        <v>3071</v>
      </c>
      <c r="L782" t="s">
        <v>3855</v>
      </c>
      <c r="M782">
        <v>4</v>
      </c>
      <c r="N782" t="s">
        <v>4277</v>
      </c>
      <c r="O782" t="s">
        <v>4282</v>
      </c>
      <c r="P782">
        <v>737.92</v>
      </c>
    </row>
    <row r="783" spans="1:16" x14ac:dyDescent="0.3">
      <c r="A783" t="s">
        <v>795</v>
      </c>
      <c r="B783" s="3">
        <v>45301</v>
      </c>
      <c r="C783" s="7" t="str">
        <f t="shared" si="24"/>
        <v>2024</v>
      </c>
      <c r="D783" s="7" t="str">
        <f t="shared" si="25"/>
        <v>Jan</v>
      </c>
      <c r="E783" s="6" t="s">
        <v>1992</v>
      </c>
      <c r="F783" s="5" t="s">
        <v>2404</v>
      </c>
      <c r="G783">
        <v>5</v>
      </c>
      <c r="H783">
        <v>524.26</v>
      </c>
      <c r="I783" s="6" t="s">
        <v>2415</v>
      </c>
      <c r="J783" s="6" t="s">
        <v>3068</v>
      </c>
      <c r="K783" s="6" t="s">
        <v>3073</v>
      </c>
      <c r="L783" t="s">
        <v>3856</v>
      </c>
      <c r="M783">
        <v>5</v>
      </c>
      <c r="N783" t="s">
        <v>4276</v>
      </c>
      <c r="O783" t="s">
        <v>4279</v>
      </c>
      <c r="P783">
        <v>2621.3000000000002</v>
      </c>
    </row>
    <row r="784" spans="1:16" x14ac:dyDescent="0.3">
      <c r="A784" t="s">
        <v>796</v>
      </c>
      <c r="B784" s="3">
        <v>45515</v>
      </c>
      <c r="C784" s="7" t="str">
        <f t="shared" si="24"/>
        <v>2024</v>
      </c>
      <c r="D784" s="7" t="str">
        <f t="shared" si="25"/>
        <v>Aug</v>
      </c>
      <c r="E784" s="6" t="s">
        <v>1993</v>
      </c>
      <c r="F784" s="5" t="s">
        <v>2403</v>
      </c>
      <c r="G784">
        <v>2</v>
      </c>
      <c r="H784">
        <v>493.63</v>
      </c>
      <c r="I784" s="6" t="s">
        <v>2824</v>
      </c>
      <c r="J784" s="6" t="s">
        <v>3066</v>
      </c>
      <c r="K784" s="6" t="s">
        <v>3072</v>
      </c>
      <c r="L784" t="s">
        <v>3857</v>
      </c>
      <c r="M784">
        <v>6</v>
      </c>
      <c r="N784" t="s">
        <v>4275</v>
      </c>
      <c r="O784" t="s">
        <v>4279</v>
      </c>
      <c r="P784">
        <v>987.26</v>
      </c>
    </row>
    <row r="785" spans="1:16" x14ac:dyDescent="0.3">
      <c r="A785" t="s">
        <v>797</v>
      </c>
      <c r="B785" s="3">
        <v>45803</v>
      </c>
      <c r="C785" s="7" t="str">
        <f t="shared" si="24"/>
        <v>2025</v>
      </c>
      <c r="D785" s="7" t="str">
        <f t="shared" si="25"/>
        <v>May</v>
      </c>
      <c r="E785" s="6" t="s">
        <v>1994</v>
      </c>
      <c r="F785" s="5" t="s">
        <v>2407</v>
      </c>
      <c r="G785">
        <v>1</v>
      </c>
      <c r="H785">
        <v>438.34</v>
      </c>
      <c r="I785" s="6" t="s">
        <v>2888</v>
      </c>
      <c r="J785" s="6" t="s">
        <v>3068</v>
      </c>
      <c r="K785" s="6" t="s">
        <v>3072</v>
      </c>
      <c r="L785" t="s">
        <v>3858</v>
      </c>
      <c r="M785">
        <v>5</v>
      </c>
      <c r="N785" t="s">
        <v>4276</v>
      </c>
      <c r="O785" t="s">
        <v>4281</v>
      </c>
      <c r="P785">
        <v>438.34</v>
      </c>
    </row>
    <row r="786" spans="1:16" x14ac:dyDescent="0.3">
      <c r="A786" t="s">
        <v>798</v>
      </c>
      <c r="B786" s="3">
        <v>45793</v>
      </c>
      <c r="C786" s="7" t="str">
        <f t="shared" si="24"/>
        <v>2025</v>
      </c>
      <c r="D786" s="7" t="str">
        <f t="shared" si="25"/>
        <v>May</v>
      </c>
      <c r="E786" s="6" t="s">
        <v>1995</v>
      </c>
      <c r="F786" s="5" t="s">
        <v>2408</v>
      </c>
      <c r="G786">
        <v>1</v>
      </c>
      <c r="H786">
        <v>325.81</v>
      </c>
      <c r="I786" s="6" t="s">
        <v>2459</v>
      </c>
      <c r="J786" s="6" t="s">
        <v>3067</v>
      </c>
      <c r="K786" s="6" t="s">
        <v>3074</v>
      </c>
      <c r="L786" t="s">
        <v>3859</v>
      </c>
      <c r="M786">
        <v>1</v>
      </c>
      <c r="N786" t="s">
        <v>4277</v>
      </c>
      <c r="O786" t="s">
        <v>4279</v>
      </c>
      <c r="P786">
        <v>325.81</v>
      </c>
    </row>
    <row r="787" spans="1:16" x14ac:dyDescent="0.3">
      <c r="A787" t="s">
        <v>799</v>
      </c>
      <c r="B787" s="3">
        <v>45136</v>
      </c>
      <c r="C787" s="7" t="str">
        <f t="shared" si="24"/>
        <v>2023</v>
      </c>
      <c r="D787" s="7" t="str">
        <f t="shared" si="25"/>
        <v>Jul</v>
      </c>
      <c r="E787" s="6" t="s">
        <v>1996</v>
      </c>
      <c r="F787" s="5" t="s">
        <v>2406</v>
      </c>
      <c r="G787">
        <v>1</v>
      </c>
      <c r="H787">
        <v>176.1</v>
      </c>
      <c r="I787" s="6" t="s">
        <v>2920</v>
      </c>
      <c r="J787" s="6" t="s">
        <v>3067</v>
      </c>
      <c r="K787" s="6" t="s">
        <v>3074</v>
      </c>
      <c r="L787" t="s">
        <v>3860</v>
      </c>
      <c r="M787">
        <v>1</v>
      </c>
      <c r="N787" t="s">
        <v>4275</v>
      </c>
      <c r="O787" t="s">
        <v>4278</v>
      </c>
      <c r="P787">
        <v>176.1</v>
      </c>
    </row>
    <row r="788" spans="1:16" x14ac:dyDescent="0.3">
      <c r="A788" t="s">
        <v>800</v>
      </c>
      <c r="B788" s="3">
        <v>45161</v>
      </c>
      <c r="C788" s="7" t="str">
        <f t="shared" si="24"/>
        <v>2023</v>
      </c>
      <c r="D788" s="7" t="str">
        <f t="shared" si="25"/>
        <v>Aug</v>
      </c>
      <c r="E788" s="6" t="s">
        <v>1997</v>
      </c>
      <c r="F788" s="5" t="s">
        <v>2406</v>
      </c>
      <c r="G788">
        <v>5</v>
      </c>
      <c r="H788">
        <v>45.31</v>
      </c>
      <c r="I788" s="6" t="s">
        <v>2921</v>
      </c>
      <c r="J788" s="6" t="s">
        <v>3066</v>
      </c>
      <c r="K788" s="6" t="s">
        <v>3071</v>
      </c>
      <c r="L788" t="s">
        <v>3861</v>
      </c>
      <c r="M788">
        <v>8</v>
      </c>
      <c r="N788" t="s">
        <v>4285</v>
      </c>
      <c r="O788" t="s">
        <v>4279</v>
      </c>
      <c r="P788">
        <v>226.55</v>
      </c>
    </row>
    <row r="789" spans="1:16" x14ac:dyDescent="0.3">
      <c r="A789" t="s">
        <v>801</v>
      </c>
      <c r="B789" s="3">
        <v>45368</v>
      </c>
      <c r="C789" s="7" t="str">
        <f t="shared" si="24"/>
        <v>2024</v>
      </c>
      <c r="D789" s="7" t="str">
        <f t="shared" si="25"/>
        <v>Mar</v>
      </c>
      <c r="E789" s="6" t="s">
        <v>1998</v>
      </c>
      <c r="F789" s="5" t="s">
        <v>2409</v>
      </c>
      <c r="G789">
        <v>4</v>
      </c>
      <c r="H789">
        <v>221.96</v>
      </c>
      <c r="I789" s="6" t="s">
        <v>2922</v>
      </c>
      <c r="J789" s="6" t="s">
        <v>3069</v>
      </c>
      <c r="K789" s="6" t="s">
        <v>3073</v>
      </c>
      <c r="L789" t="s">
        <v>3862</v>
      </c>
      <c r="M789">
        <v>7</v>
      </c>
      <c r="N789" t="s">
        <v>4285</v>
      </c>
      <c r="O789" t="s">
        <v>4282</v>
      </c>
      <c r="P789">
        <v>887.84</v>
      </c>
    </row>
    <row r="790" spans="1:16" x14ac:dyDescent="0.3">
      <c r="A790" t="s">
        <v>802</v>
      </c>
      <c r="B790" s="3">
        <v>45232</v>
      </c>
      <c r="C790" s="7" t="str">
        <f t="shared" si="24"/>
        <v>2023</v>
      </c>
      <c r="D790" s="7" t="str">
        <f t="shared" si="25"/>
        <v>Nov</v>
      </c>
      <c r="E790" s="6" t="s">
        <v>1999</v>
      </c>
      <c r="F790" s="5" t="s">
        <v>2406</v>
      </c>
      <c r="G790">
        <v>2</v>
      </c>
      <c r="H790">
        <v>601.42999999999995</v>
      </c>
      <c r="I790" s="6" t="s">
        <v>2923</v>
      </c>
      <c r="J790" s="6" t="s">
        <v>3066</v>
      </c>
      <c r="K790" s="6" t="s">
        <v>3074</v>
      </c>
      <c r="L790" t="s">
        <v>3863</v>
      </c>
      <c r="M790">
        <v>5</v>
      </c>
      <c r="N790" t="s">
        <v>4276</v>
      </c>
      <c r="O790" t="s">
        <v>4278</v>
      </c>
      <c r="P790">
        <v>1202.8599999999999</v>
      </c>
    </row>
    <row r="791" spans="1:16" x14ac:dyDescent="0.3">
      <c r="A791" t="s">
        <v>803</v>
      </c>
      <c r="B791" s="3">
        <v>45155</v>
      </c>
      <c r="C791" s="7" t="str">
        <f t="shared" si="24"/>
        <v>2023</v>
      </c>
      <c r="D791" s="7" t="str">
        <f t="shared" si="25"/>
        <v>Aug</v>
      </c>
      <c r="E791" s="6" t="s">
        <v>2000</v>
      </c>
      <c r="F791" s="5" t="s">
        <v>2405</v>
      </c>
      <c r="G791">
        <v>5</v>
      </c>
      <c r="H791">
        <v>691.28</v>
      </c>
      <c r="I791" s="6" t="s">
        <v>2924</v>
      </c>
      <c r="J791" s="6" t="s">
        <v>3066</v>
      </c>
      <c r="K791" s="6" t="s">
        <v>3073</v>
      </c>
      <c r="L791" t="s">
        <v>3864</v>
      </c>
      <c r="M791">
        <v>10</v>
      </c>
      <c r="N791" t="s">
        <v>4275</v>
      </c>
      <c r="O791" t="s">
        <v>4280</v>
      </c>
      <c r="P791">
        <v>3456.4</v>
      </c>
    </row>
    <row r="792" spans="1:16" x14ac:dyDescent="0.3">
      <c r="A792" t="s">
        <v>804</v>
      </c>
      <c r="B792" s="3">
        <v>45549</v>
      </c>
      <c r="C792" s="7" t="str">
        <f t="shared" si="24"/>
        <v>2024</v>
      </c>
      <c r="D792" s="7" t="str">
        <f t="shared" si="25"/>
        <v>Sept</v>
      </c>
      <c r="E792" s="6" t="s">
        <v>2001</v>
      </c>
      <c r="F792" s="5" t="s">
        <v>2408</v>
      </c>
      <c r="G792">
        <v>4</v>
      </c>
      <c r="H792">
        <v>417.89</v>
      </c>
      <c r="I792" s="6" t="s">
        <v>2925</v>
      </c>
      <c r="J792" s="6" t="s">
        <v>3068</v>
      </c>
      <c r="K792" s="6" t="s">
        <v>3074</v>
      </c>
      <c r="L792" t="s">
        <v>3865</v>
      </c>
      <c r="M792">
        <v>4</v>
      </c>
      <c r="N792" t="s">
        <v>4285</v>
      </c>
      <c r="O792" t="s">
        <v>4282</v>
      </c>
      <c r="P792">
        <v>1671.56</v>
      </c>
    </row>
    <row r="793" spans="1:16" x14ac:dyDescent="0.3">
      <c r="A793" t="s">
        <v>805</v>
      </c>
      <c r="B793" s="3">
        <v>45304</v>
      </c>
      <c r="C793" s="7" t="str">
        <f t="shared" si="24"/>
        <v>2024</v>
      </c>
      <c r="D793" s="7" t="str">
        <f t="shared" si="25"/>
        <v>Jan</v>
      </c>
      <c r="E793" s="6" t="s">
        <v>2002</v>
      </c>
      <c r="F793" s="5" t="s">
        <v>2406</v>
      </c>
      <c r="G793">
        <v>4</v>
      </c>
      <c r="H793">
        <v>409.28</v>
      </c>
      <c r="I793" s="6" t="s">
        <v>2434</v>
      </c>
      <c r="J793" s="6" t="s">
        <v>3069</v>
      </c>
      <c r="K793" s="6" t="s">
        <v>3074</v>
      </c>
      <c r="L793" t="s">
        <v>3866</v>
      </c>
      <c r="M793">
        <v>8</v>
      </c>
      <c r="N793" t="s">
        <v>4285</v>
      </c>
      <c r="O793" t="s">
        <v>4280</v>
      </c>
      <c r="P793">
        <v>1637.12</v>
      </c>
    </row>
    <row r="794" spans="1:16" x14ac:dyDescent="0.3">
      <c r="A794" t="s">
        <v>806</v>
      </c>
      <c r="B794" s="3">
        <v>45093</v>
      </c>
      <c r="C794" s="7" t="str">
        <f t="shared" si="24"/>
        <v>2023</v>
      </c>
      <c r="D794" s="7" t="str">
        <f t="shared" si="25"/>
        <v>Jun</v>
      </c>
      <c r="E794" s="6" t="s">
        <v>2003</v>
      </c>
      <c r="F794" s="5" t="s">
        <v>2409</v>
      </c>
      <c r="G794">
        <v>2</v>
      </c>
      <c r="H794">
        <v>356.35</v>
      </c>
      <c r="I794" s="6" t="s">
        <v>2926</v>
      </c>
      <c r="J794" s="6" t="s">
        <v>3065</v>
      </c>
      <c r="K794" s="6" t="s">
        <v>3072</v>
      </c>
      <c r="L794" t="s">
        <v>3867</v>
      </c>
      <c r="M794">
        <v>6</v>
      </c>
      <c r="N794" t="s">
        <v>4277</v>
      </c>
      <c r="O794" t="s">
        <v>4281</v>
      </c>
      <c r="P794">
        <v>712.7</v>
      </c>
    </row>
    <row r="795" spans="1:16" x14ac:dyDescent="0.3">
      <c r="A795" t="s">
        <v>807</v>
      </c>
      <c r="B795" s="3">
        <v>45397</v>
      </c>
      <c r="C795" s="7" t="str">
        <f t="shared" si="24"/>
        <v>2024</v>
      </c>
      <c r="D795" s="7" t="str">
        <f t="shared" si="25"/>
        <v>Apr</v>
      </c>
      <c r="E795" s="6" t="s">
        <v>2004</v>
      </c>
      <c r="F795" s="5" t="s">
        <v>2406</v>
      </c>
      <c r="G795">
        <v>5</v>
      </c>
      <c r="H795">
        <v>170.22</v>
      </c>
      <c r="I795" s="6" t="s">
        <v>2745</v>
      </c>
      <c r="J795" s="6" t="s">
        <v>3065</v>
      </c>
      <c r="K795" s="6" t="s">
        <v>3073</v>
      </c>
      <c r="L795" t="s">
        <v>3868</v>
      </c>
      <c r="M795">
        <v>8</v>
      </c>
      <c r="N795" t="s">
        <v>4285</v>
      </c>
      <c r="O795" t="s">
        <v>4279</v>
      </c>
      <c r="P795">
        <v>851.1</v>
      </c>
    </row>
    <row r="796" spans="1:16" x14ac:dyDescent="0.3">
      <c r="A796" t="s">
        <v>808</v>
      </c>
      <c r="B796" s="3">
        <v>44994</v>
      </c>
      <c r="C796" s="7" t="str">
        <f t="shared" si="24"/>
        <v>2023</v>
      </c>
      <c r="D796" s="7" t="str">
        <f t="shared" si="25"/>
        <v>Mar</v>
      </c>
      <c r="E796" s="6" t="s">
        <v>2005</v>
      </c>
      <c r="F796" s="5" t="s">
        <v>2407</v>
      </c>
      <c r="G796">
        <v>4</v>
      </c>
      <c r="H796">
        <v>384.85</v>
      </c>
      <c r="I796" s="6" t="s">
        <v>2927</v>
      </c>
      <c r="J796" s="6" t="s">
        <v>3066</v>
      </c>
      <c r="K796" s="6" t="s">
        <v>3073</v>
      </c>
      <c r="L796" t="s">
        <v>3869</v>
      </c>
      <c r="M796">
        <v>9</v>
      </c>
      <c r="N796" t="s">
        <v>4276</v>
      </c>
      <c r="O796" t="s">
        <v>4278</v>
      </c>
      <c r="P796">
        <v>1539.4</v>
      </c>
    </row>
    <row r="797" spans="1:16" x14ac:dyDescent="0.3">
      <c r="A797" t="s">
        <v>809</v>
      </c>
      <c r="B797" s="3">
        <v>45616</v>
      </c>
      <c r="C797" s="7" t="str">
        <f t="shared" si="24"/>
        <v>2024</v>
      </c>
      <c r="D797" s="7" t="str">
        <f t="shared" si="25"/>
        <v>Nov</v>
      </c>
      <c r="E797" s="6" t="s">
        <v>2006</v>
      </c>
      <c r="F797" s="5" t="s">
        <v>2408</v>
      </c>
      <c r="G797">
        <v>4</v>
      </c>
      <c r="H797">
        <v>115.77</v>
      </c>
      <c r="I797" s="6" t="s">
        <v>2928</v>
      </c>
      <c r="J797" s="6" t="s">
        <v>3066</v>
      </c>
      <c r="K797" s="6" t="s">
        <v>3074</v>
      </c>
      <c r="L797" t="s">
        <v>3870</v>
      </c>
      <c r="M797">
        <v>7</v>
      </c>
      <c r="N797" t="s">
        <v>4275</v>
      </c>
      <c r="O797" t="s">
        <v>4278</v>
      </c>
      <c r="P797">
        <v>463.08</v>
      </c>
    </row>
    <row r="798" spans="1:16" x14ac:dyDescent="0.3">
      <c r="A798" t="s">
        <v>810</v>
      </c>
      <c r="B798" s="3">
        <v>45776</v>
      </c>
      <c r="C798" s="7" t="str">
        <f t="shared" si="24"/>
        <v>2025</v>
      </c>
      <c r="D798" s="7" t="str">
        <f t="shared" si="25"/>
        <v>Apr</v>
      </c>
      <c r="E798" s="6" t="s">
        <v>2007</v>
      </c>
      <c r="F798" s="5" t="s">
        <v>2404</v>
      </c>
      <c r="G798">
        <v>3</v>
      </c>
      <c r="H798">
        <v>579.54999999999995</v>
      </c>
      <c r="I798" s="6" t="s">
        <v>2599</v>
      </c>
      <c r="J798" s="6" t="s">
        <v>3068</v>
      </c>
      <c r="K798" s="6" t="s">
        <v>3072</v>
      </c>
      <c r="L798" t="s">
        <v>3871</v>
      </c>
      <c r="M798">
        <v>8</v>
      </c>
      <c r="N798" t="s">
        <v>4277</v>
      </c>
      <c r="O798" t="s">
        <v>4281</v>
      </c>
      <c r="P798">
        <v>1738.65</v>
      </c>
    </row>
    <row r="799" spans="1:16" x14ac:dyDescent="0.3">
      <c r="A799" t="s">
        <v>811</v>
      </c>
      <c r="B799" s="3">
        <v>44984</v>
      </c>
      <c r="C799" s="7" t="str">
        <f t="shared" si="24"/>
        <v>2023</v>
      </c>
      <c r="D799" s="7" t="str">
        <f t="shared" si="25"/>
        <v>Feb</v>
      </c>
      <c r="E799" s="6" t="s">
        <v>2008</v>
      </c>
      <c r="F799" s="5" t="s">
        <v>2408</v>
      </c>
      <c r="G799">
        <v>2</v>
      </c>
      <c r="H799">
        <v>438.76</v>
      </c>
      <c r="I799" s="6" t="s">
        <v>2929</v>
      </c>
      <c r="J799" s="6" t="s">
        <v>3065</v>
      </c>
      <c r="K799" s="6" t="s">
        <v>3072</v>
      </c>
      <c r="L799" t="s">
        <v>3872</v>
      </c>
      <c r="M799">
        <v>2</v>
      </c>
      <c r="N799" t="s">
        <v>4285</v>
      </c>
      <c r="O799" t="s">
        <v>4281</v>
      </c>
      <c r="P799">
        <v>877.52</v>
      </c>
    </row>
    <row r="800" spans="1:16" x14ac:dyDescent="0.3">
      <c r="A800" t="s">
        <v>812</v>
      </c>
      <c r="B800" s="3">
        <v>45796</v>
      </c>
      <c r="C800" s="7" t="str">
        <f t="shared" si="24"/>
        <v>2025</v>
      </c>
      <c r="D800" s="7" t="str">
        <f t="shared" si="25"/>
        <v>May</v>
      </c>
      <c r="E800" s="6" t="s">
        <v>2009</v>
      </c>
      <c r="F800" s="5" t="s">
        <v>2404</v>
      </c>
      <c r="G800">
        <v>5</v>
      </c>
      <c r="H800">
        <v>488.35</v>
      </c>
      <c r="I800" s="6" t="s">
        <v>2672</v>
      </c>
      <c r="J800" s="6" t="s">
        <v>3065</v>
      </c>
      <c r="K800" s="6" t="s">
        <v>3072</v>
      </c>
      <c r="L800" t="s">
        <v>3873</v>
      </c>
      <c r="M800">
        <v>9</v>
      </c>
      <c r="N800" t="s">
        <v>4276</v>
      </c>
      <c r="O800" t="s">
        <v>4280</v>
      </c>
      <c r="P800">
        <v>2441.75</v>
      </c>
    </row>
    <row r="801" spans="1:16" x14ac:dyDescent="0.3">
      <c r="A801" t="s">
        <v>813</v>
      </c>
      <c r="B801" s="3">
        <v>45032</v>
      </c>
      <c r="C801" s="7" t="str">
        <f t="shared" si="24"/>
        <v>2023</v>
      </c>
      <c r="D801" s="7" t="str">
        <f t="shared" si="25"/>
        <v>Apr</v>
      </c>
      <c r="E801" s="6" t="s">
        <v>2010</v>
      </c>
      <c r="F801" s="5" t="s">
        <v>2408</v>
      </c>
      <c r="G801">
        <v>4</v>
      </c>
      <c r="H801">
        <v>328.56</v>
      </c>
      <c r="I801" s="6" t="s">
        <v>2638</v>
      </c>
      <c r="J801" s="6" t="s">
        <v>3065</v>
      </c>
      <c r="K801" s="6" t="s">
        <v>3072</v>
      </c>
      <c r="L801" t="s">
        <v>3874</v>
      </c>
      <c r="M801">
        <v>4</v>
      </c>
      <c r="N801" t="s">
        <v>4276</v>
      </c>
      <c r="O801" t="s">
        <v>4280</v>
      </c>
      <c r="P801">
        <v>1314.24</v>
      </c>
    </row>
    <row r="802" spans="1:16" x14ac:dyDescent="0.3">
      <c r="A802" t="s">
        <v>814</v>
      </c>
      <c r="B802" s="3">
        <v>45744</v>
      </c>
      <c r="C802" s="7" t="str">
        <f t="shared" si="24"/>
        <v>2025</v>
      </c>
      <c r="D802" s="7" t="str">
        <f t="shared" si="25"/>
        <v>Mar</v>
      </c>
      <c r="E802" s="6" t="s">
        <v>2011</v>
      </c>
      <c r="F802" s="5" t="s">
        <v>2405</v>
      </c>
      <c r="G802">
        <v>1</v>
      </c>
      <c r="H802">
        <v>68.39</v>
      </c>
      <c r="I802" s="6" t="s">
        <v>2930</v>
      </c>
      <c r="J802" s="6" t="s">
        <v>3066</v>
      </c>
      <c r="K802" s="6" t="s">
        <v>3072</v>
      </c>
      <c r="L802" t="s">
        <v>3875</v>
      </c>
      <c r="M802">
        <v>3</v>
      </c>
      <c r="N802" t="s">
        <v>4277</v>
      </c>
      <c r="O802" t="s">
        <v>4281</v>
      </c>
      <c r="P802">
        <v>68.39</v>
      </c>
    </row>
    <row r="803" spans="1:16" x14ac:dyDescent="0.3">
      <c r="A803" t="s">
        <v>815</v>
      </c>
      <c r="B803" s="3">
        <v>45049</v>
      </c>
      <c r="C803" s="7" t="str">
        <f t="shared" si="24"/>
        <v>2023</v>
      </c>
      <c r="D803" s="7" t="str">
        <f t="shared" si="25"/>
        <v>May</v>
      </c>
      <c r="E803" s="6" t="s">
        <v>1241</v>
      </c>
      <c r="F803" s="5" t="s">
        <v>2407</v>
      </c>
      <c r="G803">
        <v>4</v>
      </c>
      <c r="H803">
        <v>595.62</v>
      </c>
      <c r="I803" s="6" t="s">
        <v>2931</v>
      </c>
      <c r="J803" s="6" t="s">
        <v>3065</v>
      </c>
      <c r="K803" s="6" t="s">
        <v>3074</v>
      </c>
      <c r="L803" t="s">
        <v>3876</v>
      </c>
      <c r="M803">
        <v>8</v>
      </c>
      <c r="N803" t="s">
        <v>4276</v>
      </c>
      <c r="O803" t="s">
        <v>4281</v>
      </c>
      <c r="P803">
        <v>2382.48</v>
      </c>
    </row>
    <row r="804" spans="1:16" x14ac:dyDescent="0.3">
      <c r="A804" t="s">
        <v>816</v>
      </c>
      <c r="B804" s="3">
        <v>45339</v>
      </c>
      <c r="C804" s="7" t="str">
        <f t="shared" si="24"/>
        <v>2024</v>
      </c>
      <c r="D804" s="7" t="str">
        <f t="shared" si="25"/>
        <v>Feb</v>
      </c>
      <c r="E804" s="6" t="s">
        <v>2012</v>
      </c>
      <c r="F804" s="5" t="s">
        <v>2406</v>
      </c>
      <c r="G804">
        <v>5</v>
      </c>
      <c r="H804">
        <v>644.64</v>
      </c>
      <c r="I804" s="6" t="s">
        <v>2932</v>
      </c>
      <c r="J804" s="6" t="s">
        <v>3068</v>
      </c>
      <c r="K804" s="6" t="s">
        <v>3071</v>
      </c>
      <c r="L804" t="s">
        <v>3877</v>
      </c>
      <c r="M804">
        <v>6</v>
      </c>
      <c r="N804" t="s">
        <v>4276</v>
      </c>
      <c r="O804" t="s">
        <v>4280</v>
      </c>
      <c r="P804">
        <v>3223.2</v>
      </c>
    </row>
    <row r="805" spans="1:16" x14ac:dyDescent="0.3">
      <c r="A805" t="s">
        <v>817</v>
      </c>
      <c r="B805" s="3">
        <v>45158</v>
      </c>
      <c r="C805" s="7" t="str">
        <f t="shared" si="24"/>
        <v>2023</v>
      </c>
      <c r="D805" s="7" t="str">
        <f t="shared" si="25"/>
        <v>Aug</v>
      </c>
      <c r="E805" s="6" t="s">
        <v>2013</v>
      </c>
      <c r="F805" s="5" t="s">
        <v>2403</v>
      </c>
      <c r="G805">
        <v>5</v>
      </c>
      <c r="H805">
        <v>397.81</v>
      </c>
      <c r="I805" s="6" t="s">
        <v>2454</v>
      </c>
      <c r="J805" s="6" t="s">
        <v>3065</v>
      </c>
      <c r="K805" s="6" t="s">
        <v>3072</v>
      </c>
      <c r="L805" t="s">
        <v>3878</v>
      </c>
      <c r="M805">
        <v>5</v>
      </c>
      <c r="N805" t="s">
        <v>4275</v>
      </c>
      <c r="O805" t="s">
        <v>4279</v>
      </c>
      <c r="P805">
        <v>1989.05</v>
      </c>
    </row>
    <row r="806" spans="1:16" x14ac:dyDescent="0.3">
      <c r="A806" t="s">
        <v>818</v>
      </c>
      <c r="B806" s="3">
        <v>45292</v>
      </c>
      <c r="C806" s="7" t="str">
        <f t="shared" si="24"/>
        <v>2024</v>
      </c>
      <c r="D806" s="7" t="str">
        <f t="shared" si="25"/>
        <v>Jan</v>
      </c>
      <c r="E806" s="6" t="s">
        <v>2014</v>
      </c>
      <c r="F806" s="5" t="s">
        <v>2406</v>
      </c>
      <c r="G806">
        <v>3</v>
      </c>
      <c r="H806">
        <v>236.5</v>
      </c>
      <c r="I806" s="6" t="s">
        <v>2933</v>
      </c>
      <c r="J806" s="6" t="s">
        <v>3066</v>
      </c>
      <c r="K806" s="6" t="s">
        <v>3073</v>
      </c>
      <c r="L806" t="s">
        <v>3879</v>
      </c>
      <c r="M806">
        <v>8</v>
      </c>
      <c r="N806" t="s">
        <v>4276</v>
      </c>
      <c r="O806" t="s">
        <v>4280</v>
      </c>
      <c r="P806">
        <v>709.5</v>
      </c>
    </row>
    <row r="807" spans="1:16" x14ac:dyDescent="0.3">
      <c r="A807" t="s">
        <v>819</v>
      </c>
      <c r="B807" s="3">
        <v>45580</v>
      </c>
      <c r="C807" s="7" t="str">
        <f t="shared" si="24"/>
        <v>2024</v>
      </c>
      <c r="D807" s="7" t="str">
        <f t="shared" si="25"/>
        <v>Oct</v>
      </c>
      <c r="E807" s="6" t="s">
        <v>2015</v>
      </c>
      <c r="F807" s="5" t="s">
        <v>2408</v>
      </c>
      <c r="G807">
        <v>5</v>
      </c>
      <c r="H807">
        <v>472.01</v>
      </c>
      <c r="I807" s="6" t="s">
        <v>2934</v>
      </c>
      <c r="J807" s="6" t="s">
        <v>3068</v>
      </c>
      <c r="K807" s="6" t="s">
        <v>3071</v>
      </c>
      <c r="L807" t="s">
        <v>3880</v>
      </c>
      <c r="M807">
        <v>10</v>
      </c>
      <c r="N807" t="s">
        <v>4275</v>
      </c>
      <c r="O807" t="s">
        <v>4280</v>
      </c>
      <c r="P807">
        <v>2360.0500000000002</v>
      </c>
    </row>
    <row r="808" spans="1:16" x14ac:dyDescent="0.3">
      <c r="A808" t="s">
        <v>820</v>
      </c>
      <c r="B808" s="3">
        <v>45170</v>
      </c>
      <c r="C808" s="7" t="str">
        <f t="shared" si="24"/>
        <v>2023</v>
      </c>
      <c r="D808" s="7" t="str">
        <f t="shared" si="25"/>
        <v>Sept</v>
      </c>
      <c r="E808" s="6" t="s">
        <v>2016</v>
      </c>
      <c r="F808" s="5" t="s">
        <v>2406</v>
      </c>
      <c r="G808">
        <v>5</v>
      </c>
      <c r="H808">
        <v>253.75</v>
      </c>
      <c r="I808" s="6" t="s">
        <v>2650</v>
      </c>
      <c r="J808" s="6" t="s">
        <v>3066</v>
      </c>
      <c r="K808" s="6" t="s">
        <v>3074</v>
      </c>
      <c r="L808" t="s">
        <v>3881</v>
      </c>
      <c r="M808">
        <v>9</v>
      </c>
      <c r="N808" t="s">
        <v>4277</v>
      </c>
      <c r="O808" t="s">
        <v>4278</v>
      </c>
      <c r="P808">
        <v>1268.75</v>
      </c>
    </row>
    <row r="809" spans="1:16" x14ac:dyDescent="0.3">
      <c r="A809" t="s">
        <v>821</v>
      </c>
      <c r="B809" s="3">
        <v>45606</v>
      </c>
      <c r="C809" s="7" t="str">
        <f t="shared" si="24"/>
        <v>2024</v>
      </c>
      <c r="D809" s="7" t="str">
        <f t="shared" si="25"/>
        <v>Nov</v>
      </c>
      <c r="E809" s="6" t="s">
        <v>2017</v>
      </c>
      <c r="F809" s="5" t="s">
        <v>2403</v>
      </c>
      <c r="G809">
        <v>3</v>
      </c>
      <c r="H809">
        <v>676.21</v>
      </c>
      <c r="I809" s="6" t="s">
        <v>2935</v>
      </c>
      <c r="J809" s="6" t="s">
        <v>3066</v>
      </c>
      <c r="K809" s="6" t="s">
        <v>3073</v>
      </c>
      <c r="L809" t="s">
        <v>3882</v>
      </c>
      <c r="M809">
        <v>5</v>
      </c>
      <c r="N809" t="s">
        <v>4275</v>
      </c>
      <c r="O809" t="s">
        <v>4282</v>
      </c>
      <c r="P809">
        <v>2028.63</v>
      </c>
    </row>
    <row r="810" spans="1:16" x14ac:dyDescent="0.3">
      <c r="A810" t="s">
        <v>822</v>
      </c>
      <c r="B810" s="3">
        <v>45335</v>
      </c>
      <c r="C810" s="7" t="str">
        <f t="shared" si="24"/>
        <v>2024</v>
      </c>
      <c r="D810" s="7" t="str">
        <f t="shared" si="25"/>
        <v>Feb</v>
      </c>
      <c r="E810" s="6" t="s">
        <v>2018</v>
      </c>
      <c r="F810" s="5" t="s">
        <v>2409</v>
      </c>
      <c r="G810">
        <v>3</v>
      </c>
      <c r="H810">
        <v>134.05000000000001</v>
      </c>
      <c r="I810" s="6" t="s">
        <v>2936</v>
      </c>
      <c r="J810" s="6" t="s">
        <v>3067</v>
      </c>
      <c r="K810" s="6" t="s">
        <v>3070</v>
      </c>
      <c r="L810" t="s">
        <v>3883</v>
      </c>
      <c r="M810">
        <v>3</v>
      </c>
      <c r="N810" t="s">
        <v>4285</v>
      </c>
      <c r="O810" t="s">
        <v>4282</v>
      </c>
      <c r="P810">
        <v>402.15</v>
      </c>
    </row>
    <row r="811" spans="1:16" x14ac:dyDescent="0.3">
      <c r="A811" t="s">
        <v>823</v>
      </c>
      <c r="B811" s="3">
        <v>45391</v>
      </c>
      <c r="C811" s="7" t="str">
        <f t="shared" si="24"/>
        <v>2024</v>
      </c>
      <c r="D811" s="7" t="str">
        <f t="shared" si="25"/>
        <v>Apr</v>
      </c>
      <c r="E811" s="6" t="s">
        <v>2019</v>
      </c>
      <c r="F811" s="5" t="s">
        <v>2409</v>
      </c>
      <c r="G811">
        <v>5</v>
      </c>
      <c r="H811">
        <v>217.43</v>
      </c>
      <c r="I811" s="6" t="s">
        <v>2470</v>
      </c>
      <c r="J811" s="6" t="s">
        <v>3065</v>
      </c>
      <c r="K811" s="6" t="s">
        <v>3070</v>
      </c>
      <c r="L811" t="s">
        <v>3884</v>
      </c>
      <c r="M811">
        <v>10</v>
      </c>
      <c r="N811" t="s">
        <v>4275</v>
      </c>
      <c r="O811" t="s">
        <v>4278</v>
      </c>
      <c r="P811">
        <v>1087.1500000000001</v>
      </c>
    </row>
    <row r="812" spans="1:16" x14ac:dyDescent="0.3">
      <c r="A812" t="s">
        <v>824</v>
      </c>
      <c r="B812" s="3">
        <v>45077</v>
      </c>
      <c r="C812" s="7" t="str">
        <f t="shared" si="24"/>
        <v>2023</v>
      </c>
      <c r="D812" s="7" t="str">
        <f t="shared" si="25"/>
        <v>May</v>
      </c>
      <c r="E812" s="6" t="s">
        <v>2020</v>
      </c>
      <c r="F812" s="5" t="s">
        <v>2405</v>
      </c>
      <c r="G812">
        <v>1</v>
      </c>
      <c r="H812">
        <v>553.55999999999995</v>
      </c>
      <c r="I812" s="6" t="s">
        <v>2937</v>
      </c>
      <c r="J812" s="6" t="s">
        <v>3067</v>
      </c>
      <c r="K812" s="6" t="s">
        <v>3071</v>
      </c>
      <c r="L812" t="s">
        <v>3885</v>
      </c>
      <c r="M812">
        <v>5</v>
      </c>
      <c r="N812" t="s">
        <v>4285</v>
      </c>
      <c r="O812" t="s">
        <v>4279</v>
      </c>
      <c r="P812">
        <v>553.55999999999995</v>
      </c>
    </row>
    <row r="813" spans="1:16" x14ac:dyDescent="0.3">
      <c r="A813" t="s">
        <v>825</v>
      </c>
      <c r="B813" s="3">
        <v>45235</v>
      </c>
      <c r="C813" s="7" t="str">
        <f t="shared" si="24"/>
        <v>2023</v>
      </c>
      <c r="D813" s="7" t="str">
        <f t="shared" si="25"/>
        <v>Nov</v>
      </c>
      <c r="E813" s="6" t="s">
        <v>2021</v>
      </c>
      <c r="F813" s="5" t="s">
        <v>2408</v>
      </c>
      <c r="G813">
        <v>2</v>
      </c>
      <c r="H813">
        <v>28.55</v>
      </c>
      <c r="I813" s="6" t="s">
        <v>2907</v>
      </c>
      <c r="J813" s="6" t="s">
        <v>3068</v>
      </c>
      <c r="K813" s="6" t="s">
        <v>3070</v>
      </c>
      <c r="L813" t="s">
        <v>3886</v>
      </c>
      <c r="M813">
        <v>7</v>
      </c>
      <c r="N813" t="s">
        <v>4275</v>
      </c>
      <c r="O813" t="s">
        <v>4280</v>
      </c>
      <c r="P813">
        <v>57.1</v>
      </c>
    </row>
    <row r="814" spans="1:16" x14ac:dyDescent="0.3">
      <c r="A814" t="s">
        <v>826</v>
      </c>
      <c r="B814" s="3">
        <v>45317</v>
      </c>
      <c r="C814" s="7" t="str">
        <f t="shared" si="24"/>
        <v>2024</v>
      </c>
      <c r="D814" s="7" t="str">
        <f t="shared" si="25"/>
        <v>Jan</v>
      </c>
      <c r="E814" s="6" t="s">
        <v>2022</v>
      </c>
      <c r="F814" s="5" t="s">
        <v>2404</v>
      </c>
      <c r="G814">
        <v>2</v>
      </c>
      <c r="H814">
        <v>255.26</v>
      </c>
      <c r="I814" s="6" t="s">
        <v>2638</v>
      </c>
      <c r="J814" s="6" t="s">
        <v>3067</v>
      </c>
      <c r="K814" s="6" t="s">
        <v>3071</v>
      </c>
      <c r="L814" t="s">
        <v>3887</v>
      </c>
      <c r="M814">
        <v>6</v>
      </c>
      <c r="N814" t="s">
        <v>4276</v>
      </c>
      <c r="O814" t="s">
        <v>4282</v>
      </c>
      <c r="P814">
        <v>510.52</v>
      </c>
    </row>
    <row r="815" spans="1:16" x14ac:dyDescent="0.3">
      <c r="A815" t="s">
        <v>827</v>
      </c>
      <c r="B815" s="3">
        <v>45731</v>
      </c>
      <c r="C815" s="7" t="str">
        <f t="shared" si="24"/>
        <v>2025</v>
      </c>
      <c r="D815" s="7" t="str">
        <f t="shared" si="25"/>
        <v>Mar</v>
      </c>
      <c r="E815" s="6" t="s">
        <v>2023</v>
      </c>
      <c r="F815" s="5" t="s">
        <v>2408</v>
      </c>
      <c r="G815">
        <v>5</v>
      </c>
      <c r="H815">
        <v>292.54000000000002</v>
      </c>
      <c r="I815" s="6" t="s">
        <v>2649</v>
      </c>
      <c r="J815" s="6" t="s">
        <v>3065</v>
      </c>
      <c r="K815" s="6" t="s">
        <v>3071</v>
      </c>
      <c r="L815" t="s">
        <v>3888</v>
      </c>
      <c r="M815">
        <v>8</v>
      </c>
      <c r="N815" t="s">
        <v>4276</v>
      </c>
      <c r="O815" t="s">
        <v>4280</v>
      </c>
      <c r="P815">
        <v>1462.7</v>
      </c>
    </row>
    <row r="816" spans="1:16" x14ac:dyDescent="0.3">
      <c r="A816" t="s">
        <v>828</v>
      </c>
      <c r="B816" s="3">
        <v>45637</v>
      </c>
      <c r="C816" s="7" t="str">
        <f t="shared" si="24"/>
        <v>2024</v>
      </c>
      <c r="D816" s="7" t="str">
        <f t="shared" si="25"/>
        <v>Dec</v>
      </c>
      <c r="E816" s="6" t="s">
        <v>2024</v>
      </c>
      <c r="F816" s="5" t="s">
        <v>2406</v>
      </c>
      <c r="G816">
        <v>4</v>
      </c>
      <c r="H816">
        <v>147.51</v>
      </c>
      <c r="I816" s="6" t="s">
        <v>2938</v>
      </c>
      <c r="J816" s="6" t="s">
        <v>3065</v>
      </c>
      <c r="K816" s="6" t="s">
        <v>3074</v>
      </c>
      <c r="L816" t="s">
        <v>3889</v>
      </c>
      <c r="M816">
        <v>4</v>
      </c>
      <c r="N816" t="s">
        <v>4277</v>
      </c>
      <c r="O816" t="s">
        <v>4278</v>
      </c>
      <c r="P816">
        <v>590.04</v>
      </c>
    </row>
    <row r="817" spans="1:16" x14ac:dyDescent="0.3">
      <c r="A817" t="s">
        <v>829</v>
      </c>
      <c r="B817" s="3">
        <v>45508</v>
      </c>
      <c r="C817" s="7" t="str">
        <f t="shared" si="24"/>
        <v>2024</v>
      </c>
      <c r="D817" s="7" t="str">
        <f t="shared" si="25"/>
        <v>Aug</v>
      </c>
      <c r="E817" s="6" t="s">
        <v>2025</v>
      </c>
      <c r="F817" s="5" t="s">
        <v>2407</v>
      </c>
      <c r="G817">
        <v>3</v>
      </c>
      <c r="H817">
        <v>569.84</v>
      </c>
      <c r="I817" s="6" t="s">
        <v>2939</v>
      </c>
      <c r="J817" s="6" t="s">
        <v>3068</v>
      </c>
      <c r="K817" s="6" t="s">
        <v>3071</v>
      </c>
      <c r="L817" t="s">
        <v>3890</v>
      </c>
      <c r="M817">
        <v>8</v>
      </c>
      <c r="N817" t="s">
        <v>4277</v>
      </c>
      <c r="O817" t="s">
        <v>4278</v>
      </c>
      <c r="P817">
        <v>1709.52</v>
      </c>
    </row>
    <row r="818" spans="1:16" x14ac:dyDescent="0.3">
      <c r="A818" t="s">
        <v>830</v>
      </c>
      <c r="B818" s="3">
        <v>45343</v>
      </c>
      <c r="C818" s="7" t="str">
        <f t="shared" si="24"/>
        <v>2024</v>
      </c>
      <c r="D818" s="7" t="str">
        <f t="shared" si="25"/>
        <v>Feb</v>
      </c>
      <c r="E818" s="6" t="s">
        <v>2026</v>
      </c>
      <c r="F818" s="5" t="s">
        <v>2405</v>
      </c>
      <c r="G818">
        <v>5</v>
      </c>
      <c r="H818">
        <v>574.79</v>
      </c>
      <c r="I818" s="6" t="s">
        <v>2601</v>
      </c>
      <c r="J818" s="6" t="s">
        <v>3067</v>
      </c>
      <c r="K818" s="6" t="s">
        <v>3074</v>
      </c>
      <c r="L818" t="s">
        <v>3891</v>
      </c>
      <c r="M818">
        <v>8</v>
      </c>
      <c r="N818" t="s">
        <v>4277</v>
      </c>
      <c r="O818" t="s">
        <v>4279</v>
      </c>
      <c r="P818">
        <v>2873.95</v>
      </c>
    </row>
    <row r="819" spans="1:16" x14ac:dyDescent="0.3">
      <c r="A819" t="s">
        <v>831</v>
      </c>
      <c r="B819" s="3">
        <v>45204</v>
      </c>
      <c r="C819" s="7" t="str">
        <f t="shared" si="24"/>
        <v>2023</v>
      </c>
      <c r="D819" s="7" t="str">
        <f t="shared" si="25"/>
        <v>Oct</v>
      </c>
      <c r="E819" s="6" t="s">
        <v>2027</v>
      </c>
      <c r="F819" s="5" t="s">
        <v>2406</v>
      </c>
      <c r="G819">
        <v>4</v>
      </c>
      <c r="H819">
        <v>598.19000000000005</v>
      </c>
      <c r="I819" s="6" t="s">
        <v>2940</v>
      </c>
      <c r="J819" s="6" t="s">
        <v>3067</v>
      </c>
      <c r="K819" s="6" t="s">
        <v>3073</v>
      </c>
      <c r="L819" t="s">
        <v>3892</v>
      </c>
      <c r="M819">
        <v>7</v>
      </c>
      <c r="N819" t="s">
        <v>4277</v>
      </c>
      <c r="O819" t="s">
        <v>4280</v>
      </c>
      <c r="P819">
        <v>2392.7600000000002</v>
      </c>
    </row>
    <row r="820" spans="1:16" x14ac:dyDescent="0.3">
      <c r="A820" t="s">
        <v>832</v>
      </c>
      <c r="B820" s="3">
        <v>44987</v>
      </c>
      <c r="C820" s="7" t="str">
        <f t="shared" si="24"/>
        <v>2023</v>
      </c>
      <c r="D820" s="7" t="str">
        <f t="shared" si="25"/>
        <v>Mar</v>
      </c>
      <c r="E820" s="6" t="s">
        <v>2028</v>
      </c>
      <c r="F820" s="5" t="s">
        <v>2404</v>
      </c>
      <c r="G820">
        <v>4</v>
      </c>
      <c r="H820">
        <v>390.84</v>
      </c>
      <c r="I820" s="6" t="s">
        <v>2868</v>
      </c>
      <c r="J820" s="6" t="s">
        <v>3067</v>
      </c>
      <c r="K820" s="6" t="s">
        <v>3071</v>
      </c>
      <c r="L820" t="s">
        <v>3893</v>
      </c>
      <c r="M820">
        <v>9</v>
      </c>
      <c r="N820" t="s">
        <v>4277</v>
      </c>
      <c r="O820" t="s">
        <v>4279</v>
      </c>
      <c r="P820">
        <v>1563.36</v>
      </c>
    </row>
    <row r="821" spans="1:16" x14ac:dyDescent="0.3">
      <c r="A821" t="s">
        <v>833</v>
      </c>
      <c r="B821" s="3">
        <v>45563</v>
      </c>
      <c r="C821" s="7" t="str">
        <f t="shared" si="24"/>
        <v>2024</v>
      </c>
      <c r="D821" s="7" t="str">
        <f t="shared" si="25"/>
        <v>Sept</v>
      </c>
      <c r="E821" s="6" t="s">
        <v>2029</v>
      </c>
      <c r="F821" s="5" t="s">
        <v>2404</v>
      </c>
      <c r="G821">
        <v>2</v>
      </c>
      <c r="H821">
        <v>398.45</v>
      </c>
      <c r="I821" s="6" t="s">
        <v>2941</v>
      </c>
      <c r="J821" s="6" t="s">
        <v>3065</v>
      </c>
      <c r="K821" s="6" t="s">
        <v>3071</v>
      </c>
      <c r="L821" t="s">
        <v>3894</v>
      </c>
      <c r="M821">
        <v>7</v>
      </c>
      <c r="N821" t="s">
        <v>4275</v>
      </c>
      <c r="O821" t="s">
        <v>4282</v>
      </c>
      <c r="P821">
        <v>796.9</v>
      </c>
    </row>
    <row r="822" spans="1:16" x14ac:dyDescent="0.3">
      <c r="A822" t="s">
        <v>834</v>
      </c>
      <c r="B822" s="3">
        <v>45073</v>
      </c>
      <c r="C822" s="7" t="str">
        <f t="shared" si="24"/>
        <v>2023</v>
      </c>
      <c r="D822" s="7" t="str">
        <f t="shared" si="25"/>
        <v>May</v>
      </c>
      <c r="E822" s="6" t="s">
        <v>2030</v>
      </c>
      <c r="F822" s="5" t="s">
        <v>2404</v>
      </c>
      <c r="G822">
        <v>5</v>
      </c>
      <c r="H822">
        <v>623.80999999999995</v>
      </c>
      <c r="I822" s="6" t="s">
        <v>2706</v>
      </c>
      <c r="J822" s="6" t="s">
        <v>3069</v>
      </c>
      <c r="K822" s="6" t="s">
        <v>3072</v>
      </c>
      <c r="L822" t="s">
        <v>3895</v>
      </c>
      <c r="M822">
        <v>6</v>
      </c>
      <c r="N822" t="s">
        <v>4276</v>
      </c>
      <c r="O822" t="s">
        <v>4280</v>
      </c>
      <c r="P822">
        <v>3119.05</v>
      </c>
    </row>
    <row r="823" spans="1:16" x14ac:dyDescent="0.3">
      <c r="A823" t="s">
        <v>835</v>
      </c>
      <c r="B823" s="3">
        <v>45640</v>
      </c>
      <c r="C823" s="7" t="str">
        <f t="shared" si="24"/>
        <v>2024</v>
      </c>
      <c r="D823" s="7" t="str">
        <f t="shared" si="25"/>
        <v>Dec</v>
      </c>
      <c r="E823" s="6" t="s">
        <v>2031</v>
      </c>
      <c r="F823" s="5" t="s">
        <v>2408</v>
      </c>
      <c r="G823">
        <v>4</v>
      </c>
      <c r="H823">
        <v>174.49</v>
      </c>
      <c r="I823" s="6" t="s">
        <v>2698</v>
      </c>
      <c r="J823" s="6" t="s">
        <v>3067</v>
      </c>
      <c r="K823" s="6" t="s">
        <v>3073</v>
      </c>
      <c r="L823" t="s">
        <v>3896</v>
      </c>
      <c r="M823">
        <v>5</v>
      </c>
      <c r="N823" t="s">
        <v>4275</v>
      </c>
      <c r="O823" t="s">
        <v>4281</v>
      </c>
      <c r="P823">
        <v>697.96</v>
      </c>
    </row>
    <row r="824" spans="1:16" x14ac:dyDescent="0.3">
      <c r="A824" t="s">
        <v>836</v>
      </c>
      <c r="B824" s="3">
        <v>45731</v>
      </c>
      <c r="C824" s="7" t="str">
        <f t="shared" si="24"/>
        <v>2025</v>
      </c>
      <c r="D824" s="7" t="str">
        <f t="shared" si="25"/>
        <v>Mar</v>
      </c>
      <c r="E824" s="6" t="s">
        <v>2032</v>
      </c>
      <c r="F824" s="5" t="s">
        <v>2404</v>
      </c>
      <c r="G824">
        <v>1</v>
      </c>
      <c r="H824">
        <v>479.56</v>
      </c>
      <c r="I824" s="6" t="s">
        <v>2476</v>
      </c>
      <c r="J824" s="6" t="s">
        <v>3068</v>
      </c>
      <c r="K824" s="6" t="s">
        <v>3072</v>
      </c>
      <c r="L824" t="s">
        <v>3897</v>
      </c>
      <c r="M824">
        <v>1</v>
      </c>
      <c r="N824" t="s">
        <v>4275</v>
      </c>
      <c r="O824" t="s">
        <v>4282</v>
      </c>
      <c r="P824">
        <v>479.56</v>
      </c>
    </row>
    <row r="825" spans="1:16" x14ac:dyDescent="0.3">
      <c r="A825" t="s">
        <v>837</v>
      </c>
      <c r="B825" s="3">
        <v>45572</v>
      </c>
      <c r="C825" s="7" t="str">
        <f t="shared" si="24"/>
        <v>2024</v>
      </c>
      <c r="D825" s="7" t="str">
        <f t="shared" si="25"/>
        <v>Oct</v>
      </c>
      <c r="E825" s="6" t="s">
        <v>2033</v>
      </c>
      <c r="F825" s="5" t="s">
        <v>2408</v>
      </c>
      <c r="G825">
        <v>4</v>
      </c>
      <c r="H825">
        <v>653.13</v>
      </c>
      <c r="I825" s="6" t="s">
        <v>2942</v>
      </c>
      <c r="J825" s="6" t="s">
        <v>3067</v>
      </c>
      <c r="K825" s="6" t="s">
        <v>3070</v>
      </c>
      <c r="L825" t="s">
        <v>3898</v>
      </c>
      <c r="M825">
        <v>8</v>
      </c>
      <c r="N825" t="s">
        <v>4277</v>
      </c>
      <c r="O825" t="s">
        <v>4278</v>
      </c>
      <c r="P825">
        <v>2612.52</v>
      </c>
    </row>
    <row r="826" spans="1:16" x14ac:dyDescent="0.3">
      <c r="A826" t="s">
        <v>838</v>
      </c>
      <c r="B826" s="3">
        <v>45167</v>
      </c>
      <c r="C826" s="7" t="str">
        <f t="shared" si="24"/>
        <v>2023</v>
      </c>
      <c r="D826" s="7" t="str">
        <f t="shared" si="25"/>
        <v>Aug</v>
      </c>
      <c r="E826" s="6" t="s">
        <v>2034</v>
      </c>
      <c r="F826" s="5" t="s">
        <v>2403</v>
      </c>
      <c r="G826">
        <v>3</v>
      </c>
      <c r="H826">
        <v>481.1</v>
      </c>
      <c r="I826" s="6" t="s">
        <v>2943</v>
      </c>
      <c r="J826" s="6" t="s">
        <v>3067</v>
      </c>
      <c r="K826" s="6" t="s">
        <v>3072</v>
      </c>
      <c r="L826" t="s">
        <v>3899</v>
      </c>
      <c r="M826">
        <v>3</v>
      </c>
      <c r="N826" t="s">
        <v>4276</v>
      </c>
      <c r="O826" t="s">
        <v>4281</v>
      </c>
      <c r="P826">
        <v>1443.3</v>
      </c>
    </row>
    <row r="827" spans="1:16" x14ac:dyDescent="0.3">
      <c r="A827" t="s">
        <v>839</v>
      </c>
      <c r="B827" s="3">
        <v>45742</v>
      </c>
      <c r="C827" s="7" t="str">
        <f t="shared" si="24"/>
        <v>2025</v>
      </c>
      <c r="D827" s="7" t="str">
        <f t="shared" si="25"/>
        <v>Mar</v>
      </c>
      <c r="E827" s="6" t="s">
        <v>2035</v>
      </c>
      <c r="F827" s="5" t="s">
        <v>2409</v>
      </c>
      <c r="G827">
        <v>5</v>
      </c>
      <c r="H827">
        <v>271.69</v>
      </c>
      <c r="I827" s="6" t="s">
        <v>2944</v>
      </c>
      <c r="J827" s="6" t="s">
        <v>3066</v>
      </c>
      <c r="K827" s="6" t="s">
        <v>3072</v>
      </c>
      <c r="L827" t="s">
        <v>3900</v>
      </c>
      <c r="M827">
        <v>7</v>
      </c>
      <c r="N827" t="s">
        <v>4276</v>
      </c>
      <c r="O827" t="s">
        <v>4278</v>
      </c>
      <c r="P827">
        <v>1358.45</v>
      </c>
    </row>
    <row r="828" spans="1:16" x14ac:dyDescent="0.3">
      <c r="A828" t="s">
        <v>840</v>
      </c>
      <c r="B828" s="3">
        <v>45724</v>
      </c>
      <c r="C828" s="7" t="str">
        <f t="shared" si="24"/>
        <v>2025</v>
      </c>
      <c r="D828" s="7" t="str">
        <f t="shared" si="25"/>
        <v>Mar</v>
      </c>
      <c r="E828" s="6" t="s">
        <v>2036</v>
      </c>
      <c r="F828" s="5" t="s">
        <v>2407</v>
      </c>
      <c r="G828">
        <v>3</v>
      </c>
      <c r="H828">
        <v>463.81</v>
      </c>
      <c r="I828" s="6" t="s">
        <v>2570</v>
      </c>
      <c r="J828" s="6" t="s">
        <v>3066</v>
      </c>
      <c r="K828" s="6" t="s">
        <v>3072</v>
      </c>
      <c r="L828" t="s">
        <v>3901</v>
      </c>
      <c r="M828">
        <v>8</v>
      </c>
      <c r="N828" t="s">
        <v>4277</v>
      </c>
      <c r="O828" t="s">
        <v>4280</v>
      </c>
      <c r="P828">
        <v>1391.43</v>
      </c>
    </row>
    <row r="829" spans="1:16" x14ac:dyDescent="0.3">
      <c r="A829" t="s">
        <v>841</v>
      </c>
      <c r="B829" s="3">
        <v>45071</v>
      </c>
      <c r="C829" s="7" t="str">
        <f t="shared" si="24"/>
        <v>2023</v>
      </c>
      <c r="D829" s="7" t="str">
        <f t="shared" si="25"/>
        <v>May</v>
      </c>
      <c r="E829" s="6" t="s">
        <v>2037</v>
      </c>
      <c r="F829" s="5" t="s">
        <v>2405</v>
      </c>
      <c r="G829">
        <v>2</v>
      </c>
      <c r="H829">
        <v>639.88</v>
      </c>
      <c r="I829" s="6" t="s">
        <v>2597</v>
      </c>
      <c r="J829" s="6" t="s">
        <v>3069</v>
      </c>
      <c r="K829" s="6" t="s">
        <v>3073</v>
      </c>
      <c r="L829" t="s">
        <v>3902</v>
      </c>
      <c r="M829">
        <v>5</v>
      </c>
      <c r="N829" t="s">
        <v>4277</v>
      </c>
      <c r="O829" t="s">
        <v>4278</v>
      </c>
      <c r="P829">
        <v>1279.76</v>
      </c>
    </row>
    <row r="830" spans="1:16" x14ac:dyDescent="0.3">
      <c r="A830" t="s">
        <v>842</v>
      </c>
      <c r="B830" s="3">
        <v>45497</v>
      </c>
      <c r="C830" s="7" t="str">
        <f t="shared" si="24"/>
        <v>2024</v>
      </c>
      <c r="D830" s="7" t="str">
        <f t="shared" si="25"/>
        <v>Jul</v>
      </c>
      <c r="E830" s="6" t="s">
        <v>2038</v>
      </c>
      <c r="F830" s="5" t="s">
        <v>2406</v>
      </c>
      <c r="G830">
        <v>4</v>
      </c>
      <c r="H830">
        <v>404.58</v>
      </c>
      <c r="I830" s="6" t="s">
        <v>2945</v>
      </c>
      <c r="J830" s="6" t="s">
        <v>3069</v>
      </c>
      <c r="K830" s="6" t="s">
        <v>3070</v>
      </c>
      <c r="L830" t="s">
        <v>3903</v>
      </c>
      <c r="M830">
        <v>5</v>
      </c>
      <c r="N830" t="s">
        <v>4276</v>
      </c>
      <c r="O830" t="s">
        <v>4278</v>
      </c>
      <c r="P830">
        <v>1618.32</v>
      </c>
    </row>
    <row r="831" spans="1:16" x14ac:dyDescent="0.3">
      <c r="A831" t="s">
        <v>843</v>
      </c>
      <c r="B831" s="3">
        <v>44962</v>
      </c>
      <c r="C831" s="7" t="str">
        <f t="shared" si="24"/>
        <v>2023</v>
      </c>
      <c r="D831" s="7" t="str">
        <f t="shared" si="25"/>
        <v>Feb</v>
      </c>
      <c r="E831" s="6" t="s">
        <v>2039</v>
      </c>
      <c r="F831" s="5" t="s">
        <v>2403</v>
      </c>
      <c r="G831">
        <v>1</v>
      </c>
      <c r="H831">
        <v>76.930000000000007</v>
      </c>
      <c r="I831" s="6" t="s">
        <v>2946</v>
      </c>
      <c r="J831" s="6" t="s">
        <v>3065</v>
      </c>
      <c r="K831" s="6" t="s">
        <v>3073</v>
      </c>
      <c r="L831" t="s">
        <v>3904</v>
      </c>
      <c r="M831">
        <v>6</v>
      </c>
      <c r="N831" t="s">
        <v>4277</v>
      </c>
      <c r="O831" t="s">
        <v>4278</v>
      </c>
      <c r="P831">
        <v>76.930000000000007</v>
      </c>
    </row>
    <row r="832" spans="1:16" x14ac:dyDescent="0.3">
      <c r="A832" t="s">
        <v>844</v>
      </c>
      <c r="B832" s="3">
        <v>45637</v>
      </c>
      <c r="C832" s="7" t="str">
        <f t="shared" si="24"/>
        <v>2024</v>
      </c>
      <c r="D832" s="7" t="str">
        <f t="shared" si="25"/>
        <v>Dec</v>
      </c>
      <c r="E832" s="6" t="s">
        <v>2040</v>
      </c>
      <c r="F832" s="5" t="s">
        <v>2405</v>
      </c>
      <c r="G832">
        <v>4</v>
      </c>
      <c r="H832">
        <v>190.64</v>
      </c>
      <c r="I832" s="6" t="s">
        <v>2947</v>
      </c>
      <c r="J832" s="6" t="s">
        <v>3069</v>
      </c>
      <c r="K832" s="6" t="s">
        <v>3073</v>
      </c>
      <c r="L832" t="s">
        <v>3905</v>
      </c>
      <c r="M832">
        <v>5</v>
      </c>
      <c r="N832" t="s">
        <v>4275</v>
      </c>
      <c r="O832" t="s">
        <v>4280</v>
      </c>
      <c r="P832">
        <v>762.56</v>
      </c>
    </row>
    <row r="833" spans="1:16" x14ac:dyDescent="0.3">
      <c r="A833" t="s">
        <v>845</v>
      </c>
      <c r="B833" s="3">
        <v>45278</v>
      </c>
      <c r="C833" s="7" t="str">
        <f t="shared" si="24"/>
        <v>2023</v>
      </c>
      <c r="D833" s="7" t="str">
        <f t="shared" si="25"/>
        <v>Dec</v>
      </c>
      <c r="E833" s="6" t="s">
        <v>2041</v>
      </c>
      <c r="F833" s="5" t="s">
        <v>2407</v>
      </c>
      <c r="G833">
        <v>2</v>
      </c>
      <c r="H833">
        <v>88.73</v>
      </c>
      <c r="I833" s="6" t="s">
        <v>2851</v>
      </c>
      <c r="J833" s="6" t="s">
        <v>3066</v>
      </c>
      <c r="K833" s="6" t="s">
        <v>3074</v>
      </c>
      <c r="L833" t="s">
        <v>3906</v>
      </c>
      <c r="M833">
        <v>5</v>
      </c>
      <c r="N833" t="s">
        <v>4285</v>
      </c>
      <c r="O833" t="s">
        <v>4282</v>
      </c>
      <c r="P833">
        <v>177.46</v>
      </c>
    </row>
    <row r="834" spans="1:16" x14ac:dyDescent="0.3">
      <c r="A834" t="s">
        <v>846</v>
      </c>
      <c r="B834" s="3">
        <v>45363</v>
      </c>
      <c r="C834" s="7" t="str">
        <f t="shared" ref="C834:C897" si="26">TEXT(B834, "yyyy")</f>
        <v>2024</v>
      </c>
      <c r="D834" s="7" t="str">
        <f t="shared" ref="D834:D897" si="27">TEXT(B834, "MMM")</f>
        <v>Mar</v>
      </c>
      <c r="E834" s="6" t="s">
        <v>2042</v>
      </c>
      <c r="F834" s="5" t="s">
        <v>2406</v>
      </c>
      <c r="G834">
        <v>5</v>
      </c>
      <c r="H834">
        <v>485.71</v>
      </c>
      <c r="I834" s="6" t="s">
        <v>2423</v>
      </c>
      <c r="J834" s="6" t="s">
        <v>3066</v>
      </c>
      <c r="K834" s="6" t="s">
        <v>3074</v>
      </c>
      <c r="L834" t="s">
        <v>3907</v>
      </c>
      <c r="M834">
        <v>10</v>
      </c>
      <c r="N834" t="s">
        <v>4275</v>
      </c>
      <c r="O834" t="s">
        <v>4279</v>
      </c>
      <c r="P834">
        <v>2428.5500000000002</v>
      </c>
    </row>
    <row r="835" spans="1:16" x14ac:dyDescent="0.3">
      <c r="A835" t="s">
        <v>847</v>
      </c>
      <c r="B835" s="3">
        <v>45730</v>
      </c>
      <c r="C835" s="7" t="str">
        <f t="shared" si="26"/>
        <v>2025</v>
      </c>
      <c r="D835" s="7" t="str">
        <f t="shared" si="27"/>
        <v>Mar</v>
      </c>
      <c r="E835" s="6" t="s">
        <v>2043</v>
      </c>
      <c r="F835" s="5" t="s">
        <v>2404</v>
      </c>
      <c r="G835">
        <v>5</v>
      </c>
      <c r="H835">
        <v>78.290000000000006</v>
      </c>
      <c r="I835" s="6" t="s">
        <v>2948</v>
      </c>
      <c r="J835" s="6" t="s">
        <v>3067</v>
      </c>
      <c r="K835" s="6" t="s">
        <v>3070</v>
      </c>
      <c r="L835" t="s">
        <v>3908</v>
      </c>
      <c r="M835">
        <v>5</v>
      </c>
      <c r="N835" t="s">
        <v>4277</v>
      </c>
      <c r="O835" t="s">
        <v>4279</v>
      </c>
      <c r="P835">
        <v>391.45</v>
      </c>
    </row>
    <row r="836" spans="1:16" x14ac:dyDescent="0.3">
      <c r="A836" t="s">
        <v>848</v>
      </c>
      <c r="B836" s="3">
        <v>45393</v>
      </c>
      <c r="C836" s="7" t="str">
        <f t="shared" si="26"/>
        <v>2024</v>
      </c>
      <c r="D836" s="7" t="str">
        <f t="shared" si="27"/>
        <v>Apr</v>
      </c>
      <c r="E836" s="6" t="s">
        <v>2044</v>
      </c>
      <c r="F836" s="5" t="s">
        <v>2407</v>
      </c>
      <c r="G836">
        <v>5</v>
      </c>
      <c r="H836">
        <v>22.14</v>
      </c>
      <c r="I836" s="6" t="s">
        <v>2616</v>
      </c>
      <c r="J836" s="6" t="s">
        <v>3069</v>
      </c>
      <c r="K836" s="6" t="s">
        <v>3072</v>
      </c>
      <c r="L836" t="s">
        <v>3909</v>
      </c>
      <c r="M836">
        <v>10</v>
      </c>
      <c r="N836" t="s">
        <v>4285</v>
      </c>
      <c r="O836" t="s">
        <v>4278</v>
      </c>
      <c r="P836">
        <v>110.7</v>
      </c>
    </row>
    <row r="837" spans="1:16" x14ac:dyDescent="0.3">
      <c r="A837" t="s">
        <v>849</v>
      </c>
      <c r="B837" s="3">
        <v>45377</v>
      </c>
      <c r="C837" s="7" t="str">
        <f t="shared" si="26"/>
        <v>2024</v>
      </c>
      <c r="D837" s="7" t="str">
        <f t="shared" si="27"/>
        <v>Mar</v>
      </c>
      <c r="E837" s="6" t="s">
        <v>2045</v>
      </c>
      <c r="F837" s="5" t="s">
        <v>2409</v>
      </c>
      <c r="G837">
        <v>1</v>
      </c>
      <c r="H837">
        <v>679.65</v>
      </c>
      <c r="I837" s="6" t="s">
        <v>2949</v>
      </c>
      <c r="J837" s="6" t="s">
        <v>3065</v>
      </c>
      <c r="K837" s="6" t="s">
        <v>3070</v>
      </c>
      <c r="L837" t="s">
        <v>3910</v>
      </c>
      <c r="M837">
        <v>6</v>
      </c>
      <c r="N837" t="s">
        <v>4276</v>
      </c>
      <c r="O837" t="s">
        <v>4282</v>
      </c>
      <c r="P837">
        <v>679.65</v>
      </c>
    </row>
    <row r="838" spans="1:16" x14ac:dyDescent="0.3">
      <c r="A838" t="s">
        <v>850</v>
      </c>
      <c r="B838" s="3">
        <v>44959</v>
      </c>
      <c r="C838" s="7" t="str">
        <f t="shared" si="26"/>
        <v>2023</v>
      </c>
      <c r="D838" s="7" t="str">
        <f t="shared" si="27"/>
        <v>Feb</v>
      </c>
      <c r="E838" s="6" t="s">
        <v>2046</v>
      </c>
      <c r="F838" s="5" t="s">
        <v>2404</v>
      </c>
      <c r="G838">
        <v>1</v>
      </c>
      <c r="H838">
        <v>178.44</v>
      </c>
      <c r="I838" s="6" t="s">
        <v>2860</v>
      </c>
      <c r="J838" s="6" t="s">
        <v>3067</v>
      </c>
      <c r="K838" s="6" t="s">
        <v>3071</v>
      </c>
      <c r="L838" t="s">
        <v>3911</v>
      </c>
      <c r="M838">
        <v>2</v>
      </c>
      <c r="N838" t="s">
        <v>4276</v>
      </c>
      <c r="O838" t="s">
        <v>4282</v>
      </c>
      <c r="P838">
        <v>178.44</v>
      </c>
    </row>
    <row r="839" spans="1:16" x14ac:dyDescent="0.3">
      <c r="A839" t="s">
        <v>851</v>
      </c>
      <c r="B839" s="3">
        <v>45822</v>
      </c>
      <c r="C839" s="7" t="str">
        <f t="shared" si="26"/>
        <v>2025</v>
      </c>
      <c r="D839" s="7" t="str">
        <f t="shared" si="27"/>
        <v>Jun</v>
      </c>
      <c r="E839" s="6" t="s">
        <v>2047</v>
      </c>
      <c r="F839" s="5" t="s">
        <v>2406</v>
      </c>
      <c r="G839">
        <v>5</v>
      </c>
      <c r="H839">
        <v>655.55</v>
      </c>
      <c r="I839" s="6" t="s">
        <v>2839</v>
      </c>
      <c r="J839" s="6" t="s">
        <v>3066</v>
      </c>
      <c r="K839" s="6" t="s">
        <v>3073</v>
      </c>
      <c r="L839" t="s">
        <v>3912</v>
      </c>
      <c r="M839">
        <v>5</v>
      </c>
      <c r="N839" t="s">
        <v>4285</v>
      </c>
      <c r="O839" t="s">
        <v>4280</v>
      </c>
      <c r="P839">
        <v>3277.75</v>
      </c>
    </row>
    <row r="840" spans="1:16" x14ac:dyDescent="0.3">
      <c r="A840" t="s">
        <v>852</v>
      </c>
      <c r="B840" s="3">
        <v>45393</v>
      </c>
      <c r="C840" s="7" t="str">
        <f t="shared" si="26"/>
        <v>2024</v>
      </c>
      <c r="D840" s="7" t="str">
        <f t="shared" si="27"/>
        <v>Apr</v>
      </c>
      <c r="E840" s="6" t="s">
        <v>2048</v>
      </c>
      <c r="F840" s="5" t="s">
        <v>2409</v>
      </c>
      <c r="G840">
        <v>4</v>
      </c>
      <c r="H840">
        <v>577.08000000000004</v>
      </c>
      <c r="I840" s="6" t="s">
        <v>2475</v>
      </c>
      <c r="J840" s="6" t="s">
        <v>3066</v>
      </c>
      <c r="K840" s="6" t="s">
        <v>3074</v>
      </c>
      <c r="L840" t="s">
        <v>3913</v>
      </c>
      <c r="M840">
        <v>8</v>
      </c>
      <c r="N840" t="s">
        <v>4285</v>
      </c>
      <c r="O840" t="s">
        <v>4281</v>
      </c>
      <c r="P840">
        <v>2308.3200000000002</v>
      </c>
    </row>
    <row r="841" spans="1:16" x14ac:dyDescent="0.3">
      <c r="A841" t="s">
        <v>853</v>
      </c>
      <c r="B841" s="3">
        <v>45162</v>
      </c>
      <c r="C841" s="7" t="str">
        <f t="shared" si="26"/>
        <v>2023</v>
      </c>
      <c r="D841" s="7" t="str">
        <f t="shared" si="27"/>
        <v>Aug</v>
      </c>
      <c r="E841" s="6" t="s">
        <v>2049</v>
      </c>
      <c r="F841" s="5" t="s">
        <v>2406</v>
      </c>
      <c r="G841">
        <v>3</v>
      </c>
      <c r="H841">
        <v>197.97</v>
      </c>
      <c r="I841" s="6" t="s">
        <v>2902</v>
      </c>
      <c r="J841" s="6" t="s">
        <v>3066</v>
      </c>
      <c r="K841" s="6" t="s">
        <v>3071</v>
      </c>
      <c r="L841" t="s">
        <v>3914</v>
      </c>
      <c r="M841">
        <v>5</v>
      </c>
      <c r="N841" t="s">
        <v>4285</v>
      </c>
      <c r="O841" t="s">
        <v>4282</v>
      </c>
      <c r="P841">
        <v>593.91</v>
      </c>
    </row>
    <row r="842" spans="1:16" x14ac:dyDescent="0.3">
      <c r="A842" t="s">
        <v>854</v>
      </c>
      <c r="B842" s="3">
        <v>45305</v>
      </c>
      <c r="C842" s="7" t="str">
        <f t="shared" si="26"/>
        <v>2024</v>
      </c>
      <c r="D842" s="7" t="str">
        <f t="shared" si="27"/>
        <v>Jan</v>
      </c>
      <c r="E842" s="6" t="s">
        <v>2050</v>
      </c>
      <c r="F842" s="5" t="s">
        <v>2406</v>
      </c>
      <c r="G842">
        <v>3</v>
      </c>
      <c r="H842">
        <v>411.95</v>
      </c>
      <c r="I842" s="6" t="s">
        <v>2774</v>
      </c>
      <c r="J842" s="6" t="s">
        <v>3067</v>
      </c>
      <c r="K842" s="6" t="s">
        <v>3073</v>
      </c>
      <c r="L842" t="s">
        <v>3915</v>
      </c>
      <c r="M842">
        <v>7</v>
      </c>
      <c r="N842" t="s">
        <v>4276</v>
      </c>
      <c r="O842" t="s">
        <v>4279</v>
      </c>
      <c r="P842">
        <v>1235.8499999999999</v>
      </c>
    </row>
    <row r="843" spans="1:16" x14ac:dyDescent="0.3">
      <c r="A843" t="s">
        <v>855</v>
      </c>
      <c r="B843" s="3">
        <v>45554</v>
      </c>
      <c r="C843" s="7" t="str">
        <f t="shared" si="26"/>
        <v>2024</v>
      </c>
      <c r="D843" s="7" t="str">
        <f t="shared" si="27"/>
        <v>Sept</v>
      </c>
      <c r="E843" s="6" t="s">
        <v>2051</v>
      </c>
      <c r="F843" s="5" t="s">
        <v>2407</v>
      </c>
      <c r="G843">
        <v>2</v>
      </c>
      <c r="H843">
        <v>443.22</v>
      </c>
      <c r="I843" s="6" t="s">
        <v>2950</v>
      </c>
      <c r="J843" s="6" t="s">
        <v>3067</v>
      </c>
      <c r="K843" s="6" t="s">
        <v>3073</v>
      </c>
      <c r="L843" t="s">
        <v>3916</v>
      </c>
      <c r="M843">
        <v>5</v>
      </c>
      <c r="N843" t="s">
        <v>4285</v>
      </c>
      <c r="O843" t="s">
        <v>4281</v>
      </c>
      <c r="P843">
        <v>886.44</v>
      </c>
    </row>
    <row r="844" spans="1:16" x14ac:dyDescent="0.3">
      <c r="A844" t="s">
        <v>856</v>
      </c>
      <c r="B844" s="3">
        <v>45784</v>
      </c>
      <c r="C844" s="7" t="str">
        <f t="shared" si="26"/>
        <v>2025</v>
      </c>
      <c r="D844" s="7" t="str">
        <f t="shared" si="27"/>
        <v>May</v>
      </c>
      <c r="E844" s="6" t="s">
        <v>2052</v>
      </c>
      <c r="F844" s="5" t="s">
        <v>2408</v>
      </c>
      <c r="G844">
        <v>3</v>
      </c>
      <c r="H844">
        <v>364.14</v>
      </c>
      <c r="I844" s="6" t="s">
        <v>2877</v>
      </c>
      <c r="J844" s="6" t="s">
        <v>3066</v>
      </c>
      <c r="K844" s="6" t="s">
        <v>3074</v>
      </c>
      <c r="L844" t="s">
        <v>3917</v>
      </c>
      <c r="M844">
        <v>7</v>
      </c>
      <c r="N844" t="s">
        <v>4277</v>
      </c>
      <c r="O844" t="s">
        <v>4279</v>
      </c>
      <c r="P844">
        <v>1092.42</v>
      </c>
    </row>
    <row r="845" spans="1:16" x14ac:dyDescent="0.3">
      <c r="A845" t="s">
        <v>857</v>
      </c>
      <c r="B845" s="3">
        <v>45790</v>
      </c>
      <c r="C845" s="7" t="str">
        <f t="shared" si="26"/>
        <v>2025</v>
      </c>
      <c r="D845" s="7" t="str">
        <f t="shared" si="27"/>
        <v>May</v>
      </c>
      <c r="E845" s="6" t="s">
        <v>2053</v>
      </c>
      <c r="F845" s="5" t="s">
        <v>2409</v>
      </c>
      <c r="G845">
        <v>3</v>
      </c>
      <c r="H845">
        <v>430.06</v>
      </c>
      <c r="I845" s="6" t="s">
        <v>2951</v>
      </c>
      <c r="J845" s="6" t="s">
        <v>3068</v>
      </c>
      <c r="K845" s="6" t="s">
        <v>3071</v>
      </c>
      <c r="L845" t="s">
        <v>3918</v>
      </c>
      <c r="M845">
        <v>8</v>
      </c>
      <c r="N845" t="s">
        <v>4276</v>
      </c>
      <c r="O845" t="s">
        <v>4278</v>
      </c>
      <c r="P845">
        <v>1290.18</v>
      </c>
    </row>
    <row r="846" spans="1:16" x14ac:dyDescent="0.3">
      <c r="A846" t="s">
        <v>858</v>
      </c>
      <c r="B846" s="3">
        <v>45630</v>
      </c>
      <c r="C846" s="7" t="str">
        <f t="shared" si="26"/>
        <v>2024</v>
      </c>
      <c r="D846" s="7" t="str">
        <f t="shared" si="27"/>
        <v>Dec</v>
      </c>
      <c r="E846" s="6" t="s">
        <v>2054</v>
      </c>
      <c r="F846" s="5" t="s">
        <v>2406</v>
      </c>
      <c r="G846">
        <v>1</v>
      </c>
      <c r="H846">
        <v>320.92</v>
      </c>
      <c r="I846" s="6" t="s">
        <v>2952</v>
      </c>
      <c r="J846" s="6" t="s">
        <v>3066</v>
      </c>
      <c r="K846" s="6" t="s">
        <v>3072</v>
      </c>
      <c r="L846" t="s">
        <v>3919</v>
      </c>
      <c r="M846">
        <v>5</v>
      </c>
      <c r="N846" t="s">
        <v>4276</v>
      </c>
      <c r="O846" t="s">
        <v>4281</v>
      </c>
      <c r="P846">
        <v>320.92</v>
      </c>
    </row>
    <row r="847" spans="1:16" x14ac:dyDescent="0.3">
      <c r="A847" t="s">
        <v>859</v>
      </c>
      <c r="B847" s="3">
        <v>45207</v>
      </c>
      <c r="C847" s="7" t="str">
        <f t="shared" si="26"/>
        <v>2023</v>
      </c>
      <c r="D847" s="7" t="str">
        <f t="shared" si="27"/>
        <v>Oct</v>
      </c>
      <c r="E847" s="6" t="s">
        <v>2055</v>
      </c>
      <c r="F847" s="5" t="s">
        <v>2404</v>
      </c>
      <c r="G847">
        <v>3</v>
      </c>
      <c r="H847">
        <v>107.36</v>
      </c>
      <c r="I847" s="6" t="s">
        <v>2953</v>
      </c>
      <c r="J847" s="6" t="s">
        <v>3068</v>
      </c>
      <c r="K847" s="6" t="s">
        <v>3073</v>
      </c>
      <c r="L847" t="s">
        <v>3920</v>
      </c>
      <c r="M847">
        <v>5</v>
      </c>
      <c r="N847" t="s">
        <v>4276</v>
      </c>
      <c r="O847" t="s">
        <v>4282</v>
      </c>
      <c r="P847">
        <v>322.08</v>
      </c>
    </row>
    <row r="848" spans="1:16" x14ac:dyDescent="0.3">
      <c r="A848" t="s">
        <v>860</v>
      </c>
      <c r="B848" s="3">
        <v>45477</v>
      </c>
      <c r="C848" s="7" t="str">
        <f t="shared" si="26"/>
        <v>2024</v>
      </c>
      <c r="D848" s="7" t="str">
        <f t="shared" si="27"/>
        <v>Jul</v>
      </c>
      <c r="E848" s="6" t="s">
        <v>2056</v>
      </c>
      <c r="F848" s="5" t="s">
        <v>2409</v>
      </c>
      <c r="G848">
        <v>2</v>
      </c>
      <c r="H848">
        <v>359.86</v>
      </c>
      <c r="I848" s="6" t="s">
        <v>2954</v>
      </c>
      <c r="J848" s="6" t="s">
        <v>3065</v>
      </c>
      <c r="K848" s="6" t="s">
        <v>3071</v>
      </c>
      <c r="L848" t="s">
        <v>3921</v>
      </c>
      <c r="M848">
        <v>4</v>
      </c>
      <c r="N848" t="s">
        <v>4285</v>
      </c>
      <c r="O848" t="s">
        <v>4279</v>
      </c>
      <c r="P848">
        <v>719.72</v>
      </c>
    </row>
    <row r="849" spans="1:16" x14ac:dyDescent="0.3">
      <c r="A849" t="s">
        <v>861</v>
      </c>
      <c r="B849" s="3">
        <v>45614</v>
      </c>
      <c r="C849" s="7" t="str">
        <f t="shared" si="26"/>
        <v>2024</v>
      </c>
      <c r="D849" s="7" t="str">
        <f t="shared" si="27"/>
        <v>Nov</v>
      </c>
      <c r="E849" s="6" t="s">
        <v>2057</v>
      </c>
      <c r="F849" s="5" t="s">
        <v>2407</v>
      </c>
      <c r="G849">
        <v>4</v>
      </c>
      <c r="H849">
        <v>434.23</v>
      </c>
      <c r="I849" s="6" t="s">
        <v>2657</v>
      </c>
      <c r="J849" s="6" t="s">
        <v>3066</v>
      </c>
      <c r="K849" s="6" t="s">
        <v>3070</v>
      </c>
      <c r="L849" t="s">
        <v>3922</v>
      </c>
      <c r="M849">
        <v>8</v>
      </c>
      <c r="N849" t="s">
        <v>4276</v>
      </c>
      <c r="O849" t="s">
        <v>4280</v>
      </c>
      <c r="P849">
        <v>1736.92</v>
      </c>
    </row>
    <row r="850" spans="1:16" x14ac:dyDescent="0.3">
      <c r="A850" t="s">
        <v>862</v>
      </c>
      <c r="B850" s="3">
        <v>44927</v>
      </c>
      <c r="C850" s="7" t="str">
        <f t="shared" si="26"/>
        <v>2023</v>
      </c>
      <c r="D850" s="7" t="str">
        <f t="shared" si="27"/>
        <v>Jan</v>
      </c>
      <c r="E850" s="6" t="s">
        <v>2058</v>
      </c>
      <c r="F850" s="5" t="s">
        <v>2406</v>
      </c>
      <c r="G850">
        <v>2</v>
      </c>
      <c r="H850">
        <v>645.85</v>
      </c>
      <c r="I850" s="6" t="s">
        <v>2466</v>
      </c>
      <c r="J850" s="6" t="s">
        <v>3066</v>
      </c>
      <c r="K850" s="6" t="s">
        <v>3070</v>
      </c>
      <c r="L850" t="s">
        <v>3923</v>
      </c>
      <c r="M850">
        <v>5</v>
      </c>
      <c r="N850" t="s">
        <v>4285</v>
      </c>
      <c r="O850" t="s">
        <v>4279</v>
      </c>
      <c r="P850">
        <v>1291.7</v>
      </c>
    </row>
    <row r="851" spans="1:16" x14ac:dyDescent="0.3">
      <c r="A851" t="s">
        <v>863</v>
      </c>
      <c r="B851" s="3">
        <v>45817</v>
      </c>
      <c r="C851" s="7" t="str">
        <f t="shared" si="26"/>
        <v>2025</v>
      </c>
      <c r="D851" s="7" t="str">
        <f t="shared" si="27"/>
        <v>Jun</v>
      </c>
      <c r="E851" s="6" t="s">
        <v>2059</v>
      </c>
      <c r="F851" s="5" t="s">
        <v>2407</v>
      </c>
      <c r="G851">
        <v>4</v>
      </c>
      <c r="H851">
        <v>214.35</v>
      </c>
      <c r="I851" s="6" t="s">
        <v>2943</v>
      </c>
      <c r="J851" s="6" t="s">
        <v>3065</v>
      </c>
      <c r="K851" s="6" t="s">
        <v>3071</v>
      </c>
      <c r="L851" t="s">
        <v>3924</v>
      </c>
      <c r="M851">
        <v>7</v>
      </c>
      <c r="N851" t="s">
        <v>4277</v>
      </c>
      <c r="O851" t="s">
        <v>4279</v>
      </c>
      <c r="P851">
        <v>857.4</v>
      </c>
    </row>
    <row r="852" spans="1:16" x14ac:dyDescent="0.3">
      <c r="A852" t="s">
        <v>864</v>
      </c>
      <c r="B852" s="3">
        <v>45774</v>
      </c>
      <c r="C852" s="7" t="str">
        <f t="shared" si="26"/>
        <v>2025</v>
      </c>
      <c r="D852" s="7" t="str">
        <f t="shared" si="27"/>
        <v>Apr</v>
      </c>
      <c r="E852" s="6" t="s">
        <v>2060</v>
      </c>
      <c r="F852" s="5" t="s">
        <v>2403</v>
      </c>
      <c r="G852">
        <v>3</v>
      </c>
      <c r="H852">
        <v>638.5</v>
      </c>
      <c r="I852" s="6" t="s">
        <v>2893</v>
      </c>
      <c r="J852" s="6" t="s">
        <v>3065</v>
      </c>
      <c r="K852" s="6" t="s">
        <v>3071</v>
      </c>
      <c r="L852" t="s">
        <v>3925</v>
      </c>
      <c r="M852">
        <v>4</v>
      </c>
      <c r="N852" t="s">
        <v>4276</v>
      </c>
      <c r="O852" t="s">
        <v>4278</v>
      </c>
      <c r="P852">
        <v>1915.5</v>
      </c>
    </row>
    <row r="853" spans="1:16" x14ac:dyDescent="0.3">
      <c r="A853" t="s">
        <v>865</v>
      </c>
      <c r="B853" s="3">
        <v>45272</v>
      </c>
      <c r="C853" s="7" t="str">
        <f t="shared" si="26"/>
        <v>2023</v>
      </c>
      <c r="D853" s="7" t="str">
        <f t="shared" si="27"/>
        <v>Dec</v>
      </c>
      <c r="E853" s="6" t="s">
        <v>2061</v>
      </c>
      <c r="F853" s="5" t="s">
        <v>2408</v>
      </c>
      <c r="G853">
        <v>1</v>
      </c>
      <c r="H853">
        <v>365.57</v>
      </c>
      <c r="I853" s="6" t="s">
        <v>2482</v>
      </c>
      <c r="J853" s="6" t="s">
        <v>3066</v>
      </c>
      <c r="K853" s="6" t="s">
        <v>3071</v>
      </c>
      <c r="L853" t="s">
        <v>3926</v>
      </c>
      <c r="M853">
        <v>5</v>
      </c>
      <c r="N853" t="s">
        <v>4275</v>
      </c>
      <c r="O853" t="s">
        <v>4280</v>
      </c>
      <c r="P853">
        <v>365.57</v>
      </c>
    </row>
    <row r="854" spans="1:16" x14ac:dyDescent="0.3">
      <c r="A854" t="s">
        <v>866</v>
      </c>
      <c r="B854" s="3">
        <v>45589</v>
      </c>
      <c r="C854" s="7" t="str">
        <f t="shared" si="26"/>
        <v>2024</v>
      </c>
      <c r="D854" s="7" t="str">
        <f t="shared" si="27"/>
        <v>Oct</v>
      </c>
      <c r="E854" s="6" t="s">
        <v>2062</v>
      </c>
      <c r="F854" s="5" t="s">
        <v>2409</v>
      </c>
      <c r="G854">
        <v>3</v>
      </c>
      <c r="H854">
        <v>568.04999999999995</v>
      </c>
      <c r="I854" s="6" t="s">
        <v>2955</v>
      </c>
      <c r="J854" s="6" t="s">
        <v>3068</v>
      </c>
      <c r="K854" s="6" t="s">
        <v>3074</v>
      </c>
      <c r="L854" t="s">
        <v>3927</v>
      </c>
      <c r="M854">
        <v>6</v>
      </c>
      <c r="N854" t="s">
        <v>4275</v>
      </c>
      <c r="O854" t="s">
        <v>4282</v>
      </c>
      <c r="P854">
        <v>1704.15</v>
      </c>
    </row>
    <row r="855" spans="1:16" x14ac:dyDescent="0.3">
      <c r="A855" t="s">
        <v>867</v>
      </c>
      <c r="B855" s="3">
        <v>45215</v>
      </c>
      <c r="C855" s="7" t="str">
        <f t="shared" si="26"/>
        <v>2023</v>
      </c>
      <c r="D855" s="7" t="str">
        <f t="shared" si="27"/>
        <v>Oct</v>
      </c>
      <c r="E855" s="6" t="s">
        <v>2063</v>
      </c>
      <c r="F855" s="5" t="s">
        <v>2407</v>
      </c>
      <c r="G855">
        <v>3</v>
      </c>
      <c r="H855">
        <v>490.01</v>
      </c>
      <c r="I855" s="6" t="s">
        <v>2663</v>
      </c>
      <c r="J855" s="6" t="s">
        <v>3069</v>
      </c>
      <c r="K855" s="6" t="s">
        <v>3072</v>
      </c>
      <c r="L855" t="s">
        <v>3928</v>
      </c>
      <c r="M855">
        <v>4</v>
      </c>
      <c r="N855" t="s">
        <v>4275</v>
      </c>
      <c r="O855" t="s">
        <v>4281</v>
      </c>
      <c r="P855">
        <v>1470.03</v>
      </c>
    </row>
    <row r="856" spans="1:16" x14ac:dyDescent="0.3">
      <c r="A856" t="s">
        <v>868</v>
      </c>
      <c r="B856" s="3">
        <v>45821</v>
      </c>
      <c r="C856" s="7" t="str">
        <f t="shared" si="26"/>
        <v>2025</v>
      </c>
      <c r="D856" s="7" t="str">
        <f t="shared" si="27"/>
        <v>Jun</v>
      </c>
      <c r="E856" s="6" t="s">
        <v>2064</v>
      </c>
      <c r="F856" s="5" t="s">
        <v>2408</v>
      </c>
      <c r="G856">
        <v>3</v>
      </c>
      <c r="H856">
        <v>372.6</v>
      </c>
      <c r="I856" s="6" t="s">
        <v>2759</v>
      </c>
      <c r="J856" s="6" t="s">
        <v>3067</v>
      </c>
      <c r="K856" s="6" t="s">
        <v>3073</v>
      </c>
      <c r="L856" t="s">
        <v>3929</v>
      </c>
      <c r="M856">
        <v>7</v>
      </c>
      <c r="N856" t="s">
        <v>4277</v>
      </c>
      <c r="O856" t="s">
        <v>4279</v>
      </c>
      <c r="P856">
        <v>1117.8</v>
      </c>
    </row>
    <row r="857" spans="1:16" x14ac:dyDescent="0.3">
      <c r="A857" t="s">
        <v>869</v>
      </c>
      <c r="B857" s="3">
        <v>45071</v>
      </c>
      <c r="C857" s="7" t="str">
        <f t="shared" si="26"/>
        <v>2023</v>
      </c>
      <c r="D857" s="7" t="str">
        <f t="shared" si="27"/>
        <v>May</v>
      </c>
      <c r="E857" s="6" t="s">
        <v>2065</v>
      </c>
      <c r="F857" s="5" t="s">
        <v>2403</v>
      </c>
      <c r="G857">
        <v>5</v>
      </c>
      <c r="H857">
        <v>240.61</v>
      </c>
      <c r="I857" s="6" t="s">
        <v>2624</v>
      </c>
      <c r="J857" s="6" t="s">
        <v>3067</v>
      </c>
      <c r="K857" s="6" t="s">
        <v>3070</v>
      </c>
      <c r="L857" t="s">
        <v>3930</v>
      </c>
      <c r="M857">
        <v>10</v>
      </c>
      <c r="N857" t="s">
        <v>4276</v>
      </c>
      <c r="O857" t="s">
        <v>4280</v>
      </c>
      <c r="P857">
        <v>1203.05</v>
      </c>
    </row>
    <row r="858" spans="1:16" x14ac:dyDescent="0.3">
      <c r="A858" t="s">
        <v>870</v>
      </c>
      <c r="B858" s="3">
        <v>45446</v>
      </c>
      <c r="C858" s="7" t="str">
        <f t="shared" si="26"/>
        <v>2024</v>
      </c>
      <c r="D858" s="7" t="str">
        <f t="shared" si="27"/>
        <v>Jun</v>
      </c>
      <c r="E858" s="6" t="s">
        <v>2066</v>
      </c>
      <c r="F858" s="5" t="s">
        <v>2404</v>
      </c>
      <c r="G858">
        <v>1</v>
      </c>
      <c r="H858">
        <v>586.62</v>
      </c>
      <c r="I858" s="6" t="s">
        <v>2452</v>
      </c>
      <c r="J858" s="6" t="s">
        <v>3065</v>
      </c>
      <c r="K858" s="6" t="s">
        <v>3070</v>
      </c>
      <c r="L858" t="s">
        <v>3931</v>
      </c>
      <c r="M858">
        <v>5</v>
      </c>
      <c r="N858" t="s">
        <v>4285</v>
      </c>
      <c r="O858" t="s">
        <v>4281</v>
      </c>
      <c r="P858">
        <v>586.62</v>
      </c>
    </row>
    <row r="859" spans="1:16" x14ac:dyDescent="0.3">
      <c r="A859" t="s">
        <v>871</v>
      </c>
      <c r="B859" s="3">
        <v>45361</v>
      </c>
      <c r="C859" s="7" t="str">
        <f t="shared" si="26"/>
        <v>2024</v>
      </c>
      <c r="D859" s="7" t="str">
        <f t="shared" si="27"/>
        <v>Mar</v>
      </c>
      <c r="E859" s="6" t="s">
        <v>2067</v>
      </c>
      <c r="F859" s="5" t="s">
        <v>2404</v>
      </c>
      <c r="G859">
        <v>3</v>
      </c>
      <c r="H859">
        <v>257.83999999999997</v>
      </c>
      <c r="I859" s="6" t="s">
        <v>2594</v>
      </c>
      <c r="J859" s="6" t="s">
        <v>3066</v>
      </c>
      <c r="K859" s="6" t="s">
        <v>3073</v>
      </c>
      <c r="L859" t="s">
        <v>3932</v>
      </c>
      <c r="M859">
        <v>4</v>
      </c>
      <c r="N859" t="s">
        <v>4285</v>
      </c>
      <c r="O859" t="s">
        <v>4278</v>
      </c>
      <c r="P859">
        <v>773.52</v>
      </c>
    </row>
    <row r="860" spans="1:16" x14ac:dyDescent="0.3">
      <c r="A860" t="s">
        <v>872</v>
      </c>
      <c r="B860" s="3">
        <v>45158</v>
      </c>
      <c r="C860" s="7" t="str">
        <f t="shared" si="26"/>
        <v>2023</v>
      </c>
      <c r="D860" s="7" t="str">
        <f t="shared" si="27"/>
        <v>Aug</v>
      </c>
      <c r="E860" s="6" t="s">
        <v>2068</v>
      </c>
      <c r="F860" s="5" t="s">
        <v>2405</v>
      </c>
      <c r="G860">
        <v>5</v>
      </c>
      <c r="H860">
        <v>435.66</v>
      </c>
      <c r="I860" s="6" t="s">
        <v>2428</v>
      </c>
      <c r="J860" s="6" t="s">
        <v>3066</v>
      </c>
      <c r="K860" s="6" t="s">
        <v>3074</v>
      </c>
      <c r="L860" t="s">
        <v>3933</v>
      </c>
      <c r="M860">
        <v>9</v>
      </c>
      <c r="N860" t="s">
        <v>4285</v>
      </c>
      <c r="O860" t="s">
        <v>4281</v>
      </c>
      <c r="P860">
        <v>2178.3000000000002</v>
      </c>
    </row>
    <row r="861" spans="1:16" x14ac:dyDescent="0.3">
      <c r="A861" t="s">
        <v>873</v>
      </c>
      <c r="B861" s="3">
        <v>45532</v>
      </c>
      <c r="C861" s="7" t="str">
        <f t="shared" si="26"/>
        <v>2024</v>
      </c>
      <c r="D861" s="7" t="str">
        <f t="shared" si="27"/>
        <v>Aug</v>
      </c>
      <c r="E861" s="6" t="s">
        <v>2069</v>
      </c>
      <c r="F861" s="5" t="s">
        <v>2406</v>
      </c>
      <c r="G861">
        <v>5</v>
      </c>
      <c r="H861">
        <v>261.33</v>
      </c>
      <c r="I861" s="6" t="s">
        <v>2842</v>
      </c>
      <c r="J861" s="6" t="s">
        <v>3067</v>
      </c>
      <c r="K861" s="6" t="s">
        <v>3072</v>
      </c>
      <c r="L861" t="s">
        <v>3934</v>
      </c>
      <c r="M861">
        <v>5</v>
      </c>
      <c r="N861" t="s">
        <v>4275</v>
      </c>
      <c r="O861" t="s">
        <v>4279</v>
      </c>
      <c r="P861">
        <v>1306.6500000000001</v>
      </c>
    </row>
    <row r="862" spans="1:16" x14ac:dyDescent="0.3">
      <c r="A862" t="s">
        <v>874</v>
      </c>
      <c r="B862" s="3">
        <v>45314</v>
      </c>
      <c r="C862" s="7" t="str">
        <f t="shared" si="26"/>
        <v>2024</v>
      </c>
      <c r="D862" s="7" t="str">
        <f t="shared" si="27"/>
        <v>Jan</v>
      </c>
      <c r="E862" s="6" t="s">
        <v>2070</v>
      </c>
      <c r="F862" s="5" t="s">
        <v>2407</v>
      </c>
      <c r="G862">
        <v>1</v>
      </c>
      <c r="H862">
        <v>422.54</v>
      </c>
      <c r="I862" s="6" t="s">
        <v>2699</v>
      </c>
      <c r="J862" s="6" t="s">
        <v>3069</v>
      </c>
      <c r="K862" s="6" t="s">
        <v>3073</v>
      </c>
      <c r="L862" t="s">
        <v>3935</v>
      </c>
      <c r="M862">
        <v>1</v>
      </c>
      <c r="N862" t="s">
        <v>4275</v>
      </c>
      <c r="O862" t="s">
        <v>4282</v>
      </c>
      <c r="P862">
        <v>422.54</v>
      </c>
    </row>
    <row r="863" spans="1:16" x14ac:dyDescent="0.3">
      <c r="A863" t="s">
        <v>875</v>
      </c>
      <c r="B863" s="3">
        <v>45004</v>
      </c>
      <c r="C863" s="7" t="str">
        <f t="shared" si="26"/>
        <v>2023</v>
      </c>
      <c r="D863" s="7" t="str">
        <f t="shared" si="27"/>
        <v>Mar</v>
      </c>
      <c r="E863" s="6" t="s">
        <v>2071</v>
      </c>
      <c r="F863" s="5" t="s">
        <v>2409</v>
      </c>
      <c r="G863">
        <v>5</v>
      </c>
      <c r="H863">
        <v>330.45</v>
      </c>
      <c r="I863" s="6" t="s">
        <v>2956</v>
      </c>
      <c r="J863" s="6" t="s">
        <v>3068</v>
      </c>
      <c r="K863" s="6" t="s">
        <v>3070</v>
      </c>
      <c r="L863" t="s">
        <v>3936</v>
      </c>
      <c r="M863">
        <v>10</v>
      </c>
      <c r="N863" t="s">
        <v>4276</v>
      </c>
      <c r="O863" t="s">
        <v>4282</v>
      </c>
      <c r="P863">
        <v>1652.25</v>
      </c>
    </row>
    <row r="864" spans="1:16" x14ac:dyDescent="0.3">
      <c r="A864" t="s">
        <v>876</v>
      </c>
      <c r="B864" s="3">
        <v>45262</v>
      </c>
      <c r="C864" s="7" t="str">
        <f t="shared" si="26"/>
        <v>2023</v>
      </c>
      <c r="D864" s="7" t="str">
        <f t="shared" si="27"/>
        <v>Dec</v>
      </c>
      <c r="E864" s="6" t="s">
        <v>2072</v>
      </c>
      <c r="F864" s="5" t="s">
        <v>2409</v>
      </c>
      <c r="G864">
        <v>3</v>
      </c>
      <c r="H864">
        <v>120.82</v>
      </c>
      <c r="I864" s="6" t="s">
        <v>2882</v>
      </c>
      <c r="J864" s="6" t="s">
        <v>3067</v>
      </c>
      <c r="K864" s="6" t="s">
        <v>3070</v>
      </c>
      <c r="L864" t="s">
        <v>3937</v>
      </c>
      <c r="M864">
        <v>5</v>
      </c>
      <c r="N864" t="s">
        <v>4275</v>
      </c>
      <c r="O864" t="s">
        <v>4279</v>
      </c>
      <c r="P864">
        <v>362.46</v>
      </c>
    </row>
    <row r="865" spans="1:16" x14ac:dyDescent="0.3">
      <c r="A865" t="s">
        <v>877</v>
      </c>
      <c r="B865" s="3">
        <v>45432</v>
      </c>
      <c r="C865" s="7" t="str">
        <f t="shared" si="26"/>
        <v>2024</v>
      </c>
      <c r="D865" s="7" t="str">
        <f t="shared" si="27"/>
        <v>May</v>
      </c>
      <c r="E865" s="6" t="s">
        <v>2073</v>
      </c>
      <c r="F865" s="5" t="s">
        <v>2404</v>
      </c>
      <c r="G865">
        <v>1</v>
      </c>
      <c r="H865">
        <v>14.06</v>
      </c>
      <c r="I865" s="6" t="s">
        <v>2625</v>
      </c>
      <c r="J865" s="6" t="s">
        <v>3067</v>
      </c>
      <c r="K865" s="6" t="s">
        <v>3074</v>
      </c>
      <c r="L865" t="s">
        <v>3938</v>
      </c>
      <c r="M865">
        <v>5</v>
      </c>
      <c r="N865" t="s">
        <v>4275</v>
      </c>
      <c r="O865" t="s">
        <v>4279</v>
      </c>
      <c r="P865">
        <v>14.06</v>
      </c>
    </row>
    <row r="866" spans="1:16" x14ac:dyDescent="0.3">
      <c r="A866" t="s">
        <v>878</v>
      </c>
      <c r="B866" s="3">
        <v>45049</v>
      </c>
      <c r="C866" s="7" t="str">
        <f t="shared" si="26"/>
        <v>2023</v>
      </c>
      <c r="D866" s="7" t="str">
        <f t="shared" si="27"/>
        <v>May</v>
      </c>
      <c r="E866" s="6" t="s">
        <v>2074</v>
      </c>
      <c r="F866" s="5" t="s">
        <v>2409</v>
      </c>
      <c r="G866">
        <v>1</v>
      </c>
      <c r="H866">
        <v>491.11</v>
      </c>
      <c r="I866" s="6" t="s">
        <v>2957</v>
      </c>
      <c r="J866" s="6" t="s">
        <v>3067</v>
      </c>
      <c r="K866" s="6" t="s">
        <v>3073</v>
      </c>
      <c r="L866" t="s">
        <v>3939</v>
      </c>
      <c r="M866">
        <v>4</v>
      </c>
      <c r="N866" t="s">
        <v>4275</v>
      </c>
      <c r="O866" t="s">
        <v>4281</v>
      </c>
      <c r="P866">
        <v>491.11</v>
      </c>
    </row>
    <row r="867" spans="1:16" x14ac:dyDescent="0.3">
      <c r="A867" t="s">
        <v>879</v>
      </c>
      <c r="B867" s="3">
        <v>45046</v>
      </c>
      <c r="C867" s="7" t="str">
        <f t="shared" si="26"/>
        <v>2023</v>
      </c>
      <c r="D867" s="7" t="str">
        <f t="shared" si="27"/>
        <v>Apr</v>
      </c>
      <c r="E867" s="6" t="s">
        <v>2075</v>
      </c>
      <c r="F867" s="5" t="s">
        <v>2403</v>
      </c>
      <c r="G867">
        <v>4</v>
      </c>
      <c r="H867">
        <v>677.37</v>
      </c>
      <c r="I867" s="6" t="s">
        <v>2958</v>
      </c>
      <c r="J867" s="6" t="s">
        <v>3069</v>
      </c>
      <c r="K867" s="6" t="s">
        <v>3074</v>
      </c>
      <c r="L867" t="s">
        <v>3940</v>
      </c>
      <c r="M867">
        <v>8</v>
      </c>
      <c r="N867" t="s">
        <v>4275</v>
      </c>
      <c r="O867" t="s">
        <v>4282</v>
      </c>
      <c r="P867">
        <v>2709.48</v>
      </c>
    </row>
    <row r="868" spans="1:16" x14ac:dyDescent="0.3">
      <c r="A868" t="s">
        <v>880</v>
      </c>
      <c r="B868" s="3">
        <v>45499</v>
      </c>
      <c r="C868" s="7" t="str">
        <f t="shared" si="26"/>
        <v>2024</v>
      </c>
      <c r="D868" s="7" t="str">
        <f t="shared" si="27"/>
        <v>Jul</v>
      </c>
      <c r="E868" s="6" t="s">
        <v>2076</v>
      </c>
      <c r="F868" s="5" t="s">
        <v>2409</v>
      </c>
      <c r="G868">
        <v>5</v>
      </c>
      <c r="H868">
        <v>189.25</v>
      </c>
      <c r="I868" s="6" t="s">
        <v>2959</v>
      </c>
      <c r="J868" s="6" t="s">
        <v>3065</v>
      </c>
      <c r="K868" s="6" t="s">
        <v>3071</v>
      </c>
      <c r="L868" t="s">
        <v>3941</v>
      </c>
      <c r="M868">
        <v>10</v>
      </c>
      <c r="N868" t="s">
        <v>4277</v>
      </c>
      <c r="O868" t="s">
        <v>4280</v>
      </c>
      <c r="P868">
        <v>946.25</v>
      </c>
    </row>
    <row r="869" spans="1:16" x14ac:dyDescent="0.3">
      <c r="A869" t="s">
        <v>881</v>
      </c>
      <c r="B869" s="3">
        <v>45438</v>
      </c>
      <c r="C869" s="7" t="str">
        <f t="shared" si="26"/>
        <v>2024</v>
      </c>
      <c r="D869" s="7" t="str">
        <f t="shared" si="27"/>
        <v>May</v>
      </c>
      <c r="E869" s="6" t="s">
        <v>2077</v>
      </c>
      <c r="F869" s="5" t="s">
        <v>2407</v>
      </c>
      <c r="G869">
        <v>4</v>
      </c>
      <c r="H869">
        <v>142.58000000000001</v>
      </c>
      <c r="I869" s="6" t="s">
        <v>2960</v>
      </c>
      <c r="J869" s="6" t="s">
        <v>3069</v>
      </c>
      <c r="K869" s="6" t="s">
        <v>3073</v>
      </c>
      <c r="L869" t="s">
        <v>3942</v>
      </c>
      <c r="M869">
        <v>4</v>
      </c>
      <c r="N869" t="s">
        <v>4276</v>
      </c>
      <c r="O869" t="s">
        <v>4281</v>
      </c>
      <c r="P869">
        <v>570.32000000000005</v>
      </c>
    </row>
    <row r="870" spans="1:16" x14ac:dyDescent="0.3">
      <c r="A870" t="s">
        <v>882</v>
      </c>
      <c r="B870" s="3">
        <v>45472</v>
      </c>
      <c r="C870" s="7" t="str">
        <f t="shared" si="26"/>
        <v>2024</v>
      </c>
      <c r="D870" s="7" t="str">
        <f t="shared" si="27"/>
        <v>Jun</v>
      </c>
      <c r="E870" s="6" t="s">
        <v>2078</v>
      </c>
      <c r="F870" s="5" t="s">
        <v>2403</v>
      </c>
      <c r="G870">
        <v>4</v>
      </c>
      <c r="H870">
        <v>316.32</v>
      </c>
      <c r="I870" s="6" t="s">
        <v>2961</v>
      </c>
      <c r="J870" s="6" t="s">
        <v>3065</v>
      </c>
      <c r="K870" s="6" t="s">
        <v>3073</v>
      </c>
      <c r="L870" t="s">
        <v>3943</v>
      </c>
      <c r="M870">
        <v>7</v>
      </c>
      <c r="N870" t="s">
        <v>4285</v>
      </c>
      <c r="O870" t="s">
        <v>4281</v>
      </c>
      <c r="P870">
        <v>1265.28</v>
      </c>
    </row>
    <row r="871" spans="1:16" x14ac:dyDescent="0.3">
      <c r="A871" t="s">
        <v>883</v>
      </c>
      <c r="B871" s="3">
        <v>45368</v>
      </c>
      <c r="C871" s="7" t="str">
        <f t="shared" si="26"/>
        <v>2024</v>
      </c>
      <c r="D871" s="7" t="str">
        <f t="shared" si="27"/>
        <v>Mar</v>
      </c>
      <c r="E871" s="6" t="s">
        <v>2079</v>
      </c>
      <c r="F871" s="5" t="s">
        <v>2409</v>
      </c>
      <c r="G871">
        <v>2</v>
      </c>
      <c r="H871">
        <v>533.95000000000005</v>
      </c>
      <c r="I871" s="6" t="s">
        <v>2566</v>
      </c>
      <c r="J871" s="6" t="s">
        <v>3066</v>
      </c>
      <c r="K871" s="6" t="s">
        <v>3073</v>
      </c>
      <c r="L871" t="s">
        <v>3944</v>
      </c>
      <c r="M871">
        <v>5</v>
      </c>
      <c r="N871" t="s">
        <v>4277</v>
      </c>
      <c r="O871" t="s">
        <v>4282</v>
      </c>
      <c r="P871">
        <v>1067.9000000000001</v>
      </c>
    </row>
    <row r="872" spans="1:16" x14ac:dyDescent="0.3">
      <c r="A872" t="s">
        <v>884</v>
      </c>
      <c r="B872" s="3">
        <v>45809</v>
      </c>
      <c r="C872" s="7" t="str">
        <f t="shared" si="26"/>
        <v>2025</v>
      </c>
      <c r="D872" s="7" t="str">
        <f t="shared" si="27"/>
        <v>Jun</v>
      </c>
      <c r="E872" s="6" t="s">
        <v>2080</v>
      </c>
      <c r="F872" s="5" t="s">
        <v>2404</v>
      </c>
      <c r="G872">
        <v>4</v>
      </c>
      <c r="H872">
        <v>470.09</v>
      </c>
      <c r="I872" s="6" t="s">
        <v>2962</v>
      </c>
      <c r="J872" s="6" t="s">
        <v>3065</v>
      </c>
      <c r="K872" s="6" t="s">
        <v>3073</v>
      </c>
      <c r="L872" t="s">
        <v>3945</v>
      </c>
      <c r="M872">
        <v>4</v>
      </c>
      <c r="N872" t="s">
        <v>4276</v>
      </c>
      <c r="O872" t="s">
        <v>4282</v>
      </c>
      <c r="P872">
        <v>1880.36</v>
      </c>
    </row>
    <row r="873" spans="1:16" x14ac:dyDescent="0.3">
      <c r="A873" t="s">
        <v>885</v>
      </c>
      <c r="B873" s="3">
        <v>45428</v>
      </c>
      <c r="C873" s="7" t="str">
        <f t="shared" si="26"/>
        <v>2024</v>
      </c>
      <c r="D873" s="7" t="str">
        <f t="shared" si="27"/>
        <v>May</v>
      </c>
      <c r="E873" s="6" t="s">
        <v>2081</v>
      </c>
      <c r="F873" s="5" t="s">
        <v>2405</v>
      </c>
      <c r="G873">
        <v>3</v>
      </c>
      <c r="H873">
        <v>324.3</v>
      </c>
      <c r="I873" s="6" t="s">
        <v>2963</v>
      </c>
      <c r="J873" s="6" t="s">
        <v>3065</v>
      </c>
      <c r="K873" s="6" t="s">
        <v>3074</v>
      </c>
      <c r="L873" t="s">
        <v>3946</v>
      </c>
      <c r="M873">
        <v>8</v>
      </c>
      <c r="N873" t="s">
        <v>4276</v>
      </c>
      <c r="O873" t="s">
        <v>4280</v>
      </c>
      <c r="P873">
        <v>972.90000000000009</v>
      </c>
    </row>
    <row r="874" spans="1:16" x14ac:dyDescent="0.3">
      <c r="A874" t="s">
        <v>886</v>
      </c>
      <c r="B874" s="3">
        <v>45117</v>
      </c>
      <c r="C874" s="7" t="str">
        <f t="shared" si="26"/>
        <v>2023</v>
      </c>
      <c r="D874" s="7" t="str">
        <f t="shared" si="27"/>
        <v>Jul</v>
      </c>
      <c r="E874" s="6" t="s">
        <v>2082</v>
      </c>
      <c r="F874" s="5" t="s">
        <v>2406</v>
      </c>
      <c r="G874">
        <v>4</v>
      </c>
      <c r="H874">
        <v>629.34</v>
      </c>
      <c r="I874" s="6" t="s">
        <v>2590</v>
      </c>
      <c r="J874" s="6" t="s">
        <v>3069</v>
      </c>
      <c r="K874" s="6" t="s">
        <v>3070</v>
      </c>
      <c r="L874" t="s">
        <v>3947</v>
      </c>
      <c r="M874">
        <v>7</v>
      </c>
      <c r="N874" t="s">
        <v>4285</v>
      </c>
      <c r="O874" t="s">
        <v>4280</v>
      </c>
      <c r="P874">
        <v>2517.36</v>
      </c>
    </row>
    <row r="875" spans="1:16" x14ac:dyDescent="0.3">
      <c r="A875" t="s">
        <v>887</v>
      </c>
      <c r="B875" s="3">
        <v>45424</v>
      </c>
      <c r="C875" s="7" t="str">
        <f t="shared" si="26"/>
        <v>2024</v>
      </c>
      <c r="D875" s="7" t="str">
        <f t="shared" si="27"/>
        <v>May</v>
      </c>
      <c r="E875" s="6" t="s">
        <v>2083</v>
      </c>
      <c r="F875" s="5" t="s">
        <v>2409</v>
      </c>
      <c r="G875">
        <v>3</v>
      </c>
      <c r="H875">
        <v>136.84</v>
      </c>
      <c r="I875" s="6" t="s">
        <v>2964</v>
      </c>
      <c r="J875" s="6" t="s">
        <v>3069</v>
      </c>
      <c r="K875" s="6" t="s">
        <v>3073</v>
      </c>
      <c r="L875" t="s">
        <v>3948</v>
      </c>
      <c r="M875">
        <v>3</v>
      </c>
      <c r="N875" t="s">
        <v>4275</v>
      </c>
      <c r="O875" t="s">
        <v>4281</v>
      </c>
      <c r="P875">
        <v>410.52</v>
      </c>
    </row>
    <row r="876" spans="1:16" x14ac:dyDescent="0.3">
      <c r="A876" t="s">
        <v>888</v>
      </c>
      <c r="B876" s="3">
        <v>45230</v>
      </c>
      <c r="C876" s="7" t="str">
        <f t="shared" si="26"/>
        <v>2023</v>
      </c>
      <c r="D876" s="7" t="str">
        <f t="shared" si="27"/>
        <v>Oct</v>
      </c>
      <c r="E876" s="6" t="s">
        <v>2084</v>
      </c>
      <c r="F876" s="5" t="s">
        <v>2406</v>
      </c>
      <c r="G876">
        <v>2</v>
      </c>
      <c r="H876">
        <v>488.9</v>
      </c>
      <c r="I876" s="6" t="s">
        <v>2886</v>
      </c>
      <c r="J876" s="6" t="s">
        <v>3069</v>
      </c>
      <c r="K876" s="6" t="s">
        <v>3073</v>
      </c>
      <c r="L876" t="s">
        <v>3949</v>
      </c>
      <c r="M876">
        <v>7</v>
      </c>
      <c r="N876" t="s">
        <v>4276</v>
      </c>
      <c r="O876" t="s">
        <v>4281</v>
      </c>
      <c r="P876">
        <v>977.8</v>
      </c>
    </row>
    <row r="877" spans="1:16" x14ac:dyDescent="0.3">
      <c r="A877" t="s">
        <v>889</v>
      </c>
      <c r="B877" s="3">
        <v>45141</v>
      </c>
      <c r="C877" s="7" t="str">
        <f t="shared" si="26"/>
        <v>2023</v>
      </c>
      <c r="D877" s="7" t="str">
        <f t="shared" si="27"/>
        <v>Aug</v>
      </c>
      <c r="E877" s="6" t="s">
        <v>2085</v>
      </c>
      <c r="F877" s="5" t="s">
        <v>2408</v>
      </c>
      <c r="G877">
        <v>5</v>
      </c>
      <c r="H877">
        <v>133.38999999999999</v>
      </c>
      <c r="I877" s="6" t="s">
        <v>2496</v>
      </c>
      <c r="J877" s="6" t="s">
        <v>3067</v>
      </c>
      <c r="K877" s="6" t="s">
        <v>3073</v>
      </c>
      <c r="L877" t="s">
        <v>3950</v>
      </c>
      <c r="M877">
        <v>6</v>
      </c>
      <c r="N877" t="s">
        <v>4276</v>
      </c>
      <c r="O877" t="s">
        <v>4279</v>
      </c>
      <c r="P877">
        <v>666.94999999999993</v>
      </c>
    </row>
    <row r="878" spans="1:16" x14ac:dyDescent="0.3">
      <c r="A878" t="s">
        <v>890</v>
      </c>
      <c r="B878" s="3">
        <v>45452</v>
      </c>
      <c r="C878" s="7" t="str">
        <f t="shared" si="26"/>
        <v>2024</v>
      </c>
      <c r="D878" s="7" t="str">
        <f t="shared" si="27"/>
        <v>Jun</v>
      </c>
      <c r="E878" s="6" t="s">
        <v>2086</v>
      </c>
      <c r="F878" s="5" t="s">
        <v>2406</v>
      </c>
      <c r="G878">
        <v>5</v>
      </c>
      <c r="H878">
        <v>608.91</v>
      </c>
      <c r="I878" s="6" t="s">
        <v>2900</v>
      </c>
      <c r="J878" s="6" t="s">
        <v>3068</v>
      </c>
      <c r="K878" s="6" t="s">
        <v>3074</v>
      </c>
      <c r="L878" t="s">
        <v>3951</v>
      </c>
      <c r="M878">
        <v>6</v>
      </c>
      <c r="N878" t="s">
        <v>4275</v>
      </c>
      <c r="O878" t="s">
        <v>4282</v>
      </c>
      <c r="P878">
        <v>3044.55</v>
      </c>
    </row>
    <row r="879" spans="1:16" x14ac:dyDescent="0.3">
      <c r="A879" t="s">
        <v>891</v>
      </c>
      <c r="B879" s="3">
        <v>45498</v>
      </c>
      <c r="C879" s="7" t="str">
        <f t="shared" si="26"/>
        <v>2024</v>
      </c>
      <c r="D879" s="7" t="str">
        <f t="shared" si="27"/>
        <v>Jul</v>
      </c>
      <c r="E879" s="6" t="s">
        <v>2087</v>
      </c>
      <c r="F879" s="5" t="s">
        <v>2405</v>
      </c>
      <c r="G879">
        <v>1</v>
      </c>
      <c r="H879">
        <v>524.05999999999995</v>
      </c>
      <c r="I879" s="6" t="s">
        <v>2847</v>
      </c>
      <c r="J879" s="6" t="s">
        <v>3065</v>
      </c>
      <c r="K879" s="6" t="s">
        <v>3074</v>
      </c>
      <c r="L879" t="s">
        <v>3952</v>
      </c>
      <c r="M879">
        <v>3</v>
      </c>
      <c r="N879" t="s">
        <v>4276</v>
      </c>
      <c r="O879" t="s">
        <v>4280</v>
      </c>
      <c r="P879">
        <v>524.05999999999995</v>
      </c>
    </row>
    <row r="880" spans="1:16" x14ac:dyDescent="0.3">
      <c r="A880" t="s">
        <v>892</v>
      </c>
      <c r="B880" s="3">
        <v>45078</v>
      </c>
      <c r="C880" s="7" t="str">
        <f t="shared" si="26"/>
        <v>2023</v>
      </c>
      <c r="D880" s="7" t="str">
        <f t="shared" si="27"/>
        <v>Jun</v>
      </c>
      <c r="E880" s="6" t="s">
        <v>2088</v>
      </c>
      <c r="F880" s="5" t="s">
        <v>2409</v>
      </c>
      <c r="G880">
        <v>2</v>
      </c>
      <c r="H880">
        <v>330.69</v>
      </c>
      <c r="I880" s="6" t="s">
        <v>2965</v>
      </c>
      <c r="J880" s="6" t="s">
        <v>3066</v>
      </c>
      <c r="K880" s="6" t="s">
        <v>3071</v>
      </c>
      <c r="L880" t="s">
        <v>3953</v>
      </c>
      <c r="M880">
        <v>5</v>
      </c>
      <c r="N880" t="s">
        <v>4275</v>
      </c>
      <c r="O880" t="s">
        <v>4282</v>
      </c>
      <c r="P880">
        <v>661.38</v>
      </c>
    </row>
    <row r="881" spans="1:16" x14ac:dyDescent="0.3">
      <c r="A881" t="s">
        <v>893</v>
      </c>
      <c r="B881" s="3">
        <v>45755</v>
      </c>
      <c r="C881" s="7" t="str">
        <f t="shared" si="26"/>
        <v>2025</v>
      </c>
      <c r="D881" s="7" t="str">
        <f t="shared" si="27"/>
        <v>Apr</v>
      </c>
      <c r="E881" s="6" t="s">
        <v>2089</v>
      </c>
      <c r="F881" s="5" t="s">
        <v>2404</v>
      </c>
      <c r="G881">
        <v>2</v>
      </c>
      <c r="H881">
        <v>547.66999999999996</v>
      </c>
      <c r="I881" s="6" t="s">
        <v>2817</v>
      </c>
      <c r="J881" s="6" t="s">
        <v>3068</v>
      </c>
      <c r="K881" s="6" t="s">
        <v>3070</v>
      </c>
      <c r="L881" t="s">
        <v>3954</v>
      </c>
      <c r="M881">
        <v>3</v>
      </c>
      <c r="N881" t="s">
        <v>4285</v>
      </c>
      <c r="O881" t="s">
        <v>4278</v>
      </c>
      <c r="P881">
        <v>1095.3399999999999</v>
      </c>
    </row>
    <row r="882" spans="1:16" x14ac:dyDescent="0.3">
      <c r="A882" t="s">
        <v>894</v>
      </c>
      <c r="B882" s="3">
        <v>45728</v>
      </c>
      <c r="C882" s="7" t="str">
        <f t="shared" si="26"/>
        <v>2025</v>
      </c>
      <c r="D882" s="7" t="str">
        <f t="shared" si="27"/>
        <v>Mar</v>
      </c>
      <c r="E882" s="6" t="s">
        <v>2090</v>
      </c>
      <c r="F882" s="5" t="s">
        <v>2408</v>
      </c>
      <c r="G882">
        <v>4</v>
      </c>
      <c r="H882">
        <v>233.7</v>
      </c>
      <c r="I882" s="6" t="s">
        <v>2620</v>
      </c>
      <c r="J882" s="6" t="s">
        <v>3066</v>
      </c>
      <c r="K882" s="6" t="s">
        <v>3070</v>
      </c>
      <c r="L882" t="s">
        <v>3955</v>
      </c>
      <c r="M882">
        <v>8</v>
      </c>
      <c r="N882" t="s">
        <v>4275</v>
      </c>
      <c r="O882" t="s">
        <v>4281</v>
      </c>
      <c r="P882">
        <v>934.8</v>
      </c>
    </row>
    <row r="883" spans="1:16" x14ac:dyDescent="0.3">
      <c r="A883" t="s">
        <v>895</v>
      </c>
      <c r="B883" s="3">
        <v>44929</v>
      </c>
      <c r="C883" s="7" t="str">
        <f t="shared" si="26"/>
        <v>2023</v>
      </c>
      <c r="D883" s="7" t="str">
        <f t="shared" si="27"/>
        <v>Jan</v>
      </c>
      <c r="E883" s="6" t="s">
        <v>2091</v>
      </c>
      <c r="F883" s="5" t="s">
        <v>2405</v>
      </c>
      <c r="G883">
        <v>2</v>
      </c>
      <c r="H883">
        <v>448.85</v>
      </c>
      <c r="I883" s="6" t="s">
        <v>2966</v>
      </c>
      <c r="J883" s="6" t="s">
        <v>3067</v>
      </c>
      <c r="K883" s="6" t="s">
        <v>3074</v>
      </c>
      <c r="L883" t="s">
        <v>3956</v>
      </c>
      <c r="M883">
        <v>6</v>
      </c>
      <c r="N883" t="s">
        <v>4285</v>
      </c>
      <c r="O883" t="s">
        <v>4278</v>
      </c>
      <c r="P883">
        <v>897.7</v>
      </c>
    </row>
    <row r="884" spans="1:16" x14ac:dyDescent="0.3">
      <c r="A884" t="s">
        <v>896</v>
      </c>
      <c r="B884" s="3">
        <v>45836</v>
      </c>
      <c r="C884" s="7" t="str">
        <f t="shared" si="26"/>
        <v>2025</v>
      </c>
      <c r="D884" s="7" t="str">
        <f t="shared" si="27"/>
        <v>Jun</v>
      </c>
      <c r="E884" s="6" t="s">
        <v>2092</v>
      </c>
      <c r="F884" s="5" t="s">
        <v>2404</v>
      </c>
      <c r="G884">
        <v>2</v>
      </c>
      <c r="H884">
        <v>274.12</v>
      </c>
      <c r="I884" s="6" t="s">
        <v>2501</v>
      </c>
      <c r="J884" s="6" t="s">
        <v>3069</v>
      </c>
      <c r="K884" s="6" t="s">
        <v>3073</v>
      </c>
      <c r="L884" t="s">
        <v>3957</v>
      </c>
      <c r="M884">
        <v>6</v>
      </c>
      <c r="N884" t="s">
        <v>4276</v>
      </c>
      <c r="O884" t="s">
        <v>4279</v>
      </c>
      <c r="P884">
        <v>548.24</v>
      </c>
    </row>
    <row r="885" spans="1:16" x14ac:dyDescent="0.3">
      <c r="A885" t="s">
        <v>897</v>
      </c>
      <c r="B885" s="3">
        <v>45790</v>
      </c>
      <c r="C885" s="7" t="str">
        <f t="shared" si="26"/>
        <v>2025</v>
      </c>
      <c r="D885" s="7" t="str">
        <f t="shared" si="27"/>
        <v>May</v>
      </c>
      <c r="E885" s="6" t="s">
        <v>2093</v>
      </c>
      <c r="F885" s="5" t="s">
        <v>2407</v>
      </c>
      <c r="G885">
        <v>5</v>
      </c>
      <c r="H885">
        <v>561.48</v>
      </c>
      <c r="I885" s="6" t="s">
        <v>2967</v>
      </c>
      <c r="J885" s="6" t="s">
        <v>3066</v>
      </c>
      <c r="K885" s="6" t="s">
        <v>3073</v>
      </c>
      <c r="L885" t="s">
        <v>3958</v>
      </c>
      <c r="M885">
        <v>9</v>
      </c>
      <c r="N885" t="s">
        <v>4276</v>
      </c>
      <c r="O885" t="s">
        <v>4281</v>
      </c>
      <c r="P885">
        <v>2807.4</v>
      </c>
    </row>
    <row r="886" spans="1:16" x14ac:dyDescent="0.3">
      <c r="A886" t="s">
        <v>898</v>
      </c>
      <c r="B886" s="3">
        <v>45427</v>
      </c>
      <c r="C886" s="7" t="str">
        <f t="shared" si="26"/>
        <v>2024</v>
      </c>
      <c r="D886" s="7" t="str">
        <f t="shared" si="27"/>
        <v>May</v>
      </c>
      <c r="E886" s="6" t="s">
        <v>2094</v>
      </c>
      <c r="F886" s="5" t="s">
        <v>2406</v>
      </c>
      <c r="G886">
        <v>1</v>
      </c>
      <c r="H886">
        <v>595.54</v>
      </c>
      <c r="I886" s="6" t="s">
        <v>2968</v>
      </c>
      <c r="J886" s="6" t="s">
        <v>3068</v>
      </c>
      <c r="K886" s="6" t="s">
        <v>3070</v>
      </c>
      <c r="L886" t="s">
        <v>3959</v>
      </c>
      <c r="M886">
        <v>4</v>
      </c>
      <c r="N886" t="s">
        <v>4285</v>
      </c>
      <c r="O886" t="s">
        <v>4278</v>
      </c>
      <c r="P886">
        <v>595.54</v>
      </c>
    </row>
    <row r="887" spans="1:16" x14ac:dyDescent="0.3">
      <c r="A887" t="s">
        <v>899</v>
      </c>
      <c r="B887" s="3">
        <v>45389</v>
      </c>
      <c r="C887" s="7" t="str">
        <f t="shared" si="26"/>
        <v>2024</v>
      </c>
      <c r="D887" s="7" t="str">
        <f t="shared" si="27"/>
        <v>Apr</v>
      </c>
      <c r="E887" s="6" t="s">
        <v>2095</v>
      </c>
      <c r="F887" s="5" t="s">
        <v>2408</v>
      </c>
      <c r="G887">
        <v>4</v>
      </c>
      <c r="H887">
        <v>515.59</v>
      </c>
      <c r="I887" s="6" t="s">
        <v>2969</v>
      </c>
      <c r="J887" s="6" t="s">
        <v>3067</v>
      </c>
      <c r="K887" s="6" t="s">
        <v>3070</v>
      </c>
      <c r="L887" t="s">
        <v>3960</v>
      </c>
      <c r="M887">
        <v>7</v>
      </c>
      <c r="N887" t="s">
        <v>4276</v>
      </c>
      <c r="O887" t="s">
        <v>4282</v>
      </c>
      <c r="P887">
        <v>2062.36</v>
      </c>
    </row>
    <row r="888" spans="1:16" x14ac:dyDescent="0.3">
      <c r="A888" t="s">
        <v>900</v>
      </c>
      <c r="B888" s="3">
        <v>45224</v>
      </c>
      <c r="C888" s="7" t="str">
        <f t="shared" si="26"/>
        <v>2023</v>
      </c>
      <c r="D888" s="7" t="str">
        <f t="shared" si="27"/>
        <v>Oct</v>
      </c>
      <c r="E888" s="6" t="s">
        <v>2096</v>
      </c>
      <c r="F888" s="5" t="s">
        <v>2404</v>
      </c>
      <c r="G888">
        <v>1</v>
      </c>
      <c r="H888">
        <v>460.13</v>
      </c>
      <c r="I888" s="6" t="s">
        <v>2970</v>
      </c>
      <c r="J888" s="6" t="s">
        <v>3067</v>
      </c>
      <c r="K888" s="6" t="s">
        <v>3072</v>
      </c>
      <c r="L888" t="s">
        <v>3961</v>
      </c>
      <c r="M888">
        <v>1</v>
      </c>
      <c r="N888" t="s">
        <v>4285</v>
      </c>
      <c r="O888" t="s">
        <v>4282</v>
      </c>
      <c r="P888">
        <v>460.13</v>
      </c>
    </row>
    <row r="889" spans="1:16" x14ac:dyDescent="0.3">
      <c r="A889" t="s">
        <v>901</v>
      </c>
      <c r="B889" s="3">
        <v>45645</v>
      </c>
      <c r="C889" s="7" t="str">
        <f t="shared" si="26"/>
        <v>2024</v>
      </c>
      <c r="D889" s="7" t="str">
        <f t="shared" si="27"/>
        <v>Dec</v>
      </c>
      <c r="E889" s="6" t="s">
        <v>2097</v>
      </c>
      <c r="F889" s="5" t="s">
        <v>2406</v>
      </c>
      <c r="G889">
        <v>3</v>
      </c>
      <c r="H889">
        <v>171.66</v>
      </c>
      <c r="I889" s="6" t="s">
        <v>2971</v>
      </c>
      <c r="J889" s="6" t="s">
        <v>3065</v>
      </c>
      <c r="K889" s="6" t="s">
        <v>3073</v>
      </c>
      <c r="L889" t="s">
        <v>3962</v>
      </c>
      <c r="M889">
        <v>7</v>
      </c>
      <c r="N889" t="s">
        <v>4285</v>
      </c>
      <c r="O889" t="s">
        <v>4282</v>
      </c>
      <c r="P889">
        <v>514.98</v>
      </c>
    </row>
    <row r="890" spans="1:16" x14ac:dyDescent="0.3">
      <c r="A890" t="s">
        <v>902</v>
      </c>
      <c r="B890" s="3">
        <v>45496</v>
      </c>
      <c r="C890" s="7" t="str">
        <f t="shared" si="26"/>
        <v>2024</v>
      </c>
      <c r="D890" s="7" t="str">
        <f t="shared" si="27"/>
        <v>Jul</v>
      </c>
      <c r="E890" s="6" t="s">
        <v>2098</v>
      </c>
      <c r="F890" s="5" t="s">
        <v>2408</v>
      </c>
      <c r="G890">
        <v>2</v>
      </c>
      <c r="H890">
        <v>266.95</v>
      </c>
      <c r="I890" s="6" t="s">
        <v>2972</v>
      </c>
      <c r="J890" s="6" t="s">
        <v>3067</v>
      </c>
      <c r="K890" s="6" t="s">
        <v>3074</v>
      </c>
      <c r="L890" t="s">
        <v>3963</v>
      </c>
      <c r="M890">
        <v>3</v>
      </c>
      <c r="N890" t="s">
        <v>4285</v>
      </c>
      <c r="O890" t="s">
        <v>4278</v>
      </c>
      <c r="P890">
        <v>533.9</v>
      </c>
    </row>
    <row r="891" spans="1:16" x14ac:dyDescent="0.3">
      <c r="A891" t="s">
        <v>903</v>
      </c>
      <c r="B891" s="3">
        <v>45592</v>
      </c>
      <c r="C891" s="7" t="str">
        <f t="shared" si="26"/>
        <v>2024</v>
      </c>
      <c r="D891" s="7" t="str">
        <f t="shared" si="27"/>
        <v>Oct</v>
      </c>
      <c r="E891" s="6" t="s">
        <v>2099</v>
      </c>
      <c r="F891" s="5" t="s">
        <v>2403</v>
      </c>
      <c r="G891">
        <v>5</v>
      </c>
      <c r="H891">
        <v>650.72</v>
      </c>
      <c r="I891" s="6" t="s">
        <v>2973</v>
      </c>
      <c r="J891" s="6" t="s">
        <v>3067</v>
      </c>
      <c r="K891" s="6" t="s">
        <v>3071</v>
      </c>
      <c r="L891" t="s">
        <v>3964</v>
      </c>
      <c r="M891">
        <v>8</v>
      </c>
      <c r="N891" t="s">
        <v>4277</v>
      </c>
      <c r="O891" t="s">
        <v>4280</v>
      </c>
      <c r="P891">
        <v>3253.6</v>
      </c>
    </row>
    <row r="892" spans="1:16" x14ac:dyDescent="0.3">
      <c r="A892" t="s">
        <v>904</v>
      </c>
      <c r="B892" s="3">
        <v>45149</v>
      </c>
      <c r="C892" s="7" t="str">
        <f t="shared" si="26"/>
        <v>2023</v>
      </c>
      <c r="D892" s="7" t="str">
        <f t="shared" si="27"/>
        <v>Aug</v>
      </c>
      <c r="E892" s="6" t="s">
        <v>2100</v>
      </c>
      <c r="F892" s="5" t="s">
        <v>2408</v>
      </c>
      <c r="G892">
        <v>3</v>
      </c>
      <c r="H892">
        <v>439.53</v>
      </c>
      <c r="I892" s="6" t="s">
        <v>2781</v>
      </c>
      <c r="J892" s="6" t="s">
        <v>3065</v>
      </c>
      <c r="K892" s="6" t="s">
        <v>3074</v>
      </c>
      <c r="L892" t="s">
        <v>3965</v>
      </c>
      <c r="M892">
        <v>5</v>
      </c>
      <c r="N892" t="s">
        <v>4285</v>
      </c>
      <c r="O892" t="s">
        <v>4282</v>
      </c>
      <c r="P892">
        <v>1318.59</v>
      </c>
    </row>
    <row r="893" spans="1:16" x14ac:dyDescent="0.3">
      <c r="A893" t="s">
        <v>905</v>
      </c>
      <c r="B893" s="3">
        <v>45241</v>
      </c>
      <c r="C893" s="7" t="str">
        <f t="shared" si="26"/>
        <v>2023</v>
      </c>
      <c r="D893" s="7" t="str">
        <f t="shared" si="27"/>
        <v>Nov</v>
      </c>
      <c r="E893" s="6" t="s">
        <v>2101</v>
      </c>
      <c r="F893" s="5" t="s">
        <v>2403</v>
      </c>
      <c r="G893">
        <v>3</v>
      </c>
      <c r="H893">
        <v>654.54</v>
      </c>
      <c r="I893" s="6" t="s">
        <v>2974</v>
      </c>
      <c r="J893" s="6" t="s">
        <v>3069</v>
      </c>
      <c r="K893" s="6" t="s">
        <v>3072</v>
      </c>
      <c r="L893" t="s">
        <v>3966</v>
      </c>
      <c r="M893">
        <v>7</v>
      </c>
      <c r="N893" t="s">
        <v>4275</v>
      </c>
      <c r="O893" t="s">
        <v>4279</v>
      </c>
      <c r="P893">
        <v>1963.62</v>
      </c>
    </row>
    <row r="894" spans="1:16" x14ac:dyDescent="0.3">
      <c r="A894" t="s">
        <v>906</v>
      </c>
      <c r="B894" s="3">
        <v>45447</v>
      </c>
      <c r="C894" s="7" t="str">
        <f t="shared" si="26"/>
        <v>2024</v>
      </c>
      <c r="D894" s="7" t="str">
        <f t="shared" si="27"/>
        <v>Jun</v>
      </c>
      <c r="E894" s="6" t="s">
        <v>2102</v>
      </c>
      <c r="F894" s="5" t="s">
        <v>2409</v>
      </c>
      <c r="G894">
        <v>1</v>
      </c>
      <c r="H894">
        <v>394.53</v>
      </c>
      <c r="I894" s="6" t="s">
        <v>2975</v>
      </c>
      <c r="J894" s="6" t="s">
        <v>3069</v>
      </c>
      <c r="K894" s="6" t="s">
        <v>3070</v>
      </c>
      <c r="L894" t="s">
        <v>3967</v>
      </c>
      <c r="M894">
        <v>2</v>
      </c>
      <c r="N894" t="s">
        <v>4276</v>
      </c>
      <c r="O894" t="s">
        <v>4279</v>
      </c>
      <c r="P894">
        <v>394.53</v>
      </c>
    </row>
    <row r="895" spans="1:16" x14ac:dyDescent="0.3">
      <c r="A895" t="s">
        <v>907</v>
      </c>
      <c r="B895" s="3">
        <v>45006</v>
      </c>
      <c r="C895" s="7" t="str">
        <f t="shared" si="26"/>
        <v>2023</v>
      </c>
      <c r="D895" s="7" t="str">
        <f t="shared" si="27"/>
        <v>Mar</v>
      </c>
      <c r="E895" s="6" t="s">
        <v>2103</v>
      </c>
      <c r="F895" s="5" t="s">
        <v>2403</v>
      </c>
      <c r="G895">
        <v>1</v>
      </c>
      <c r="H895">
        <v>678.01</v>
      </c>
      <c r="I895" s="6" t="s">
        <v>2796</v>
      </c>
      <c r="J895" s="6" t="s">
        <v>3069</v>
      </c>
      <c r="K895" s="6" t="s">
        <v>3074</v>
      </c>
      <c r="L895" t="s">
        <v>3968</v>
      </c>
      <c r="M895">
        <v>4</v>
      </c>
      <c r="N895" t="s">
        <v>4276</v>
      </c>
      <c r="O895" t="s">
        <v>4279</v>
      </c>
      <c r="P895">
        <v>678.01</v>
      </c>
    </row>
    <row r="896" spans="1:16" x14ac:dyDescent="0.3">
      <c r="A896" t="s">
        <v>908</v>
      </c>
      <c r="B896" s="3">
        <v>45069</v>
      </c>
      <c r="C896" s="7" t="str">
        <f t="shared" si="26"/>
        <v>2023</v>
      </c>
      <c r="D896" s="7" t="str">
        <f t="shared" si="27"/>
        <v>May</v>
      </c>
      <c r="E896" s="6" t="s">
        <v>2104</v>
      </c>
      <c r="F896" s="5" t="s">
        <v>2405</v>
      </c>
      <c r="G896">
        <v>3</v>
      </c>
      <c r="H896">
        <v>575.01</v>
      </c>
      <c r="I896" s="6" t="s">
        <v>2811</v>
      </c>
      <c r="J896" s="6" t="s">
        <v>3066</v>
      </c>
      <c r="K896" s="6" t="s">
        <v>3071</v>
      </c>
      <c r="L896" t="s">
        <v>3969</v>
      </c>
      <c r="M896">
        <v>8</v>
      </c>
      <c r="N896" t="s">
        <v>4277</v>
      </c>
      <c r="O896" t="s">
        <v>4278</v>
      </c>
      <c r="P896">
        <v>1725.03</v>
      </c>
    </row>
    <row r="897" spans="1:16" x14ac:dyDescent="0.3">
      <c r="A897" t="s">
        <v>909</v>
      </c>
      <c r="B897" s="3">
        <v>45239</v>
      </c>
      <c r="C897" s="7" t="str">
        <f t="shared" si="26"/>
        <v>2023</v>
      </c>
      <c r="D897" s="7" t="str">
        <f t="shared" si="27"/>
        <v>Nov</v>
      </c>
      <c r="E897" s="6" t="s">
        <v>2105</v>
      </c>
      <c r="F897" s="5" t="s">
        <v>2406</v>
      </c>
      <c r="G897">
        <v>3</v>
      </c>
      <c r="H897">
        <v>154.63999999999999</v>
      </c>
      <c r="I897" s="6" t="s">
        <v>2976</v>
      </c>
      <c r="J897" s="6" t="s">
        <v>3065</v>
      </c>
      <c r="K897" s="6" t="s">
        <v>3074</v>
      </c>
      <c r="L897" t="s">
        <v>3970</v>
      </c>
      <c r="M897">
        <v>6</v>
      </c>
      <c r="N897" t="s">
        <v>4277</v>
      </c>
      <c r="O897" t="s">
        <v>4281</v>
      </c>
      <c r="P897">
        <v>463.92</v>
      </c>
    </row>
    <row r="898" spans="1:16" x14ac:dyDescent="0.3">
      <c r="A898" t="s">
        <v>910</v>
      </c>
      <c r="B898" s="3">
        <v>45583</v>
      </c>
      <c r="C898" s="7" t="str">
        <f t="shared" ref="C898:C961" si="28">TEXT(B898, "yyyy")</f>
        <v>2024</v>
      </c>
      <c r="D898" s="7" t="str">
        <f t="shared" ref="D898:D961" si="29">TEXT(B898, "MMM")</f>
        <v>Oct</v>
      </c>
      <c r="E898" s="6" t="s">
        <v>2106</v>
      </c>
      <c r="F898" s="5" t="s">
        <v>2409</v>
      </c>
      <c r="G898">
        <v>3</v>
      </c>
      <c r="H898">
        <v>147.29</v>
      </c>
      <c r="I898" s="6" t="s">
        <v>2419</v>
      </c>
      <c r="J898" s="6" t="s">
        <v>3068</v>
      </c>
      <c r="K898" s="6" t="s">
        <v>3070</v>
      </c>
      <c r="L898" t="s">
        <v>3971</v>
      </c>
      <c r="M898">
        <v>3</v>
      </c>
      <c r="N898" t="s">
        <v>4276</v>
      </c>
      <c r="O898" t="s">
        <v>4282</v>
      </c>
      <c r="P898">
        <v>441.87</v>
      </c>
    </row>
    <row r="899" spans="1:16" x14ac:dyDescent="0.3">
      <c r="A899" t="s">
        <v>911</v>
      </c>
      <c r="B899" s="3">
        <v>45538</v>
      </c>
      <c r="C899" s="7" t="str">
        <f t="shared" si="28"/>
        <v>2024</v>
      </c>
      <c r="D899" s="7" t="str">
        <f t="shared" si="29"/>
        <v>Sept</v>
      </c>
      <c r="E899" s="6" t="s">
        <v>2107</v>
      </c>
      <c r="F899" s="5" t="s">
        <v>2408</v>
      </c>
      <c r="G899">
        <v>4</v>
      </c>
      <c r="H899">
        <v>481.48</v>
      </c>
      <c r="I899" s="6" t="s">
        <v>2589</v>
      </c>
      <c r="J899" s="6" t="s">
        <v>3068</v>
      </c>
      <c r="K899" s="6" t="s">
        <v>3073</v>
      </c>
      <c r="L899" t="s">
        <v>3972</v>
      </c>
      <c r="M899">
        <v>5</v>
      </c>
      <c r="N899" t="s">
        <v>4275</v>
      </c>
      <c r="O899" t="s">
        <v>4278</v>
      </c>
      <c r="P899">
        <v>1925.92</v>
      </c>
    </row>
    <row r="900" spans="1:16" x14ac:dyDescent="0.3">
      <c r="A900" t="s">
        <v>912</v>
      </c>
      <c r="B900" s="3">
        <v>45721</v>
      </c>
      <c r="C900" s="7" t="str">
        <f t="shared" si="28"/>
        <v>2025</v>
      </c>
      <c r="D900" s="7" t="str">
        <f t="shared" si="29"/>
        <v>Mar</v>
      </c>
      <c r="E900" s="6" t="s">
        <v>2108</v>
      </c>
      <c r="F900" s="5" t="s">
        <v>2403</v>
      </c>
      <c r="G900">
        <v>3</v>
      </c>
      <c r="H900">
        <v>158.37</v>
      </c>
      <c r="I900" s="6" t="s">
        <v>2950</v>
      </c>
      <c r="J900" s="6" t="s">
        <v>3069</v>
      </c>
      <c r="K900" s="6" t="s">
        <v>3070</v>
      </c>
      <c r="L900" t="s">
        <v>3973</v>
      </c>
      <c r="M900">
        <v>6</v>
      </c>
      <c r="N900" t="s">
        <v>4285</v>
      </c>
      <c r="O900" t="s">
        <v>4279</v>
      </c>
      <c r="P900">
        <v>475.11</v>
      </c>
    </row>
    <row r="901" spans="1:16" x14ac:dyDescent="0.3">
      <c r="A901" t="s">
        <v>913</v>
      </c>
      <c r="B901" s="3">
        <v>45770</v>
      </c>
      <c r="C901" s="7" t="str">
        <f t="shared" si="28"/>
        <v>2025</v>
      </c>
      <c r="D901" s="7" t="str">
        <f t="shared" si="29"/>
        <v>Apr</v>
      </c>
      <c r="E901" s="6" t="s">
        <v>2109</v>
      </c>
      <c r="F901" s="5" t="s">
        <v>2407</v>
      </c>
      <c r="G901">
        <v>2</v>
      </c>
      <c r="H901">
        <v>323.37</v>
      </c>
      <c r="I901" s="6" t="s">
        <v>2474</v>
      </c>
      <c r="J901" s="6" t="s">
        <v>3066</v>
      </c>
      <c r="K901" s="6" t="s">
        <v>3074</v>
      </c>
      <c r="L901" t="s">
        <v>3974</v>
      </c>
      <c r="M901">
        <v>3</v>
      </c>
      <c r="N901" t="s">
        <v>4275</v>
      </c>
      <c r="O901" t="s">
        <v>4278</v>
      </c>
      <c r="P901">
        <v>646.74</v>
      </c>
    </row>
    <row r="902" spans="1:16" x14ac:dyDescent="0.3">
      <c r="A902" t="s">
        <v>914</v>
      </c>
      <c r="B902" s="3">
        <v>45695</v>
      </c>
      <c r="C902" s="7" t="str">
        <f t="shared" si="28"/>
        <v>2025</v>
      </c>
      <c r="D902" s="7" t="str">
        <f t="shared" si="29"/>
        <v>Feb</v>
      </c>
      <c r="E902" s="6" t="s">
        <v>2110</v>
      </c>
      <c r="F902" s="5" t="s">
        <v>2408</v>
      </c>
      <c r="G902">
        <v>5</v>
      </c>
      <c r="H902">
        <v>73.83</v>
      </c>
      <c r="I902" s="6" t="s">
        <v>2802</v>
      </c>
      <c r="J902" s="6" t="s">
        <v>3065</v>
      </c>
      <c r="K902" s="6" t="s">
        <v>3074</v>
      </c>
      <c r="L902" t="s">
        <v>3975</v>
      </c>
      <c r="M902">
        <v>9</v>
      </c>
      <c r="N902" t="s">
        <v>4285</v>
      </c>
      <c r="O902" t="s">
        <v>4278</v>
      </c>
      <c r="P902">
        <v>369.15</v>
      </c>
    </row>
    <row r="903" spans="1:16" x14ac:dyDescent="0.3">
      <c r="A903" t="s">
        <v>915</v>
      </c>
      <c r="B903" s="3">
        <v>45410</v>
      </c>
      <c r="C903" s="7" t="str">
        <f t="shared" si="28"/>
        <v>2024</v>
      </c>
      <c r="D903" s="7" t="str">
        <f t="shared" si="29"/>
        <v>Apr</v>
      </c>
      <c r="E903" s="6" t="s">
        <v>2111</v>
      </c>
      <c r="F903" s="5" t="s">
        <v>2405</v>
      </c>
      <c r="G903">
        <v>1</v>
      </c>
      <c r="H903">
        <v>458.63</v>
      </c>
      <c r="I903" s="6" t="s">
        <v>2499</v>
      </c>
      <c r="J903" s="6" t="s">
        <v>3065</v>
      </c>
      <c r="K903" s="6" t="s">
        <v>3072</v>
      </c>
      <c r="L903" t="s">
        <v>3976</v>
      </c>
      <c r="M903">
        <v>4</v>
      </c>
      <c r="N903" t="s">
        <v>4277</v>
      </c>
      <c r="O903" t="s">
        <v>4279</v>
      </c>
      <c r="P903">
        <v>458.63</v>
      </c>
    </row>
    <row r="904" spans="1:16" x14ac:dyDescent="0.3">
      <c r="A904" t="s">
        <v>916</v>
      </c>
      <c r="B904" s="3">
        <v>45486</v>
      </c>
      <c r="C904" s="7" t="str">
        <f t="shared" si="28"/>
        <v>2024</v>
      </c>
      <c r="D904" s="7" t="str">
        <f t="shared" si="29"/>
        <v>Jul</v>
      </c>
      <c r="E904" s="6" t="s">
        <v>2112</v>
      </c>
      <c r="F904" s="5" t="s">
        <v>2403</v>
      </c>
      <c r="G904">
        <v>4</v>
      </c>
      <c r="H904">
        <v>180.25</v>
      </c>
      <c r="I904" s="6" t="s">
        <v>2469</v>
      </c>
      <c r="J904" s="6" t="s">
        <v>3065</v>
      </c>
      <c r="K904" s="6" t="s">
        <v>3071</v>
      </c>
      <c r="L904" t="s">
        <v>3977</v>
      </c>
      <c r="M904">
        <v>7</v>
      </c>
      <c r="N904" t="s">
        <v>4285</v>
      </c>
      <c r="O904" t="s">
        <v>4281</v>
      </c>
      <c r="P904">
        <v>721</v>
      </c>
    </row>
    <row r="905" spans="1:16" x14ac:dyDescent="0.3">
      <c r="A905" t="s">
        <v>917</v>
      </c>
      <c r="B905" s="3">
        <v>45063</v>
      </c>
      <c r="C905" s="7" t="str">
        <f t="shared" si="28"/>
        <v>2023</v>
      </c>
      <c r="D905" s="7" t="str">
        <f t="shared" si="29"/>
        <v>May</v>
      </c>
      <c r="E905" s="6" t="s">
        <v>2113</v>
      </c>
      <c r="F905" s="5" t="s">
        <v>2403</v>
      </c>
      <c r="G905">
        <v>3</v>
      </c>
      <c r="H905">
        <v>473.49</v>
      </c>
      <c r="I905" s="6" t="s">
        <v>2932</v>
      </c>
      <c r="J905" s="6" t="s">
        <v>3067</v>
      </c>
      <c r="K905" s="6" t="s">
        <v>3074</v>
      </c>
      <c r="L905" t="s">
        <v>3978</v>
      </c>
      <c r="M905">
        <v>7</v>
      </c>
      <c r="N905" t="s">
        <v>4285</v>
      </c>
      <c r="O905" t="s">
        <v>4280</v>
      </c>
      <c r="P905">
        <v>1420.47</v>
      </c>
    </row>
    <row r="906" spans="1:16" x14ac:dyDescent="0.3">
      <c r="A906" t="s">
        <v>918</v>
      </c>
      <c r="B906" s="3">
        <v>45693</v>
      </c>
      <c r="C906" s="7" t="str">
        <f t="shared" si="28"/>
        <v>2025</v>
      </c>
      <c r="D906" s="7" t="str">
        <f t="shared" si="29"/>
        <v>Feb</v>
      </c>
      <c r="E906" s="6" t="s">
        <v>2114</v>
      </c>
      <c r="F906" s="5" t="s">
        <v>2403</v>
      </c>
      <c r="G906">
        <v>4</v>
      </c>
      <c r="H906">
        <v>237.43</v>
      </c>
      <c r="I906" s="6" t="s">
        <v>2758</v>
      </c>
      <c r="J906" s="6" t="s">
        <v>3069</v>
      </c>
      <c r="K906" s="6" t="s">
        <v>3071</v>
      </c>
      <c r="L906" t="s">
        <v>3979</v>
      </c>
      <c r="M906">
        <v>8</v>
      </c>
      <c r="N906" t="s">
        <v>4277</v>
      </c>
      <c r="O906" t="s">
        <v>4279</v>
      </c>
      <c r="P906">
        <v>949.72</v>
      </c>
    </row>
    <row r="907" spans="1:16" x14ac:dyDescent="0.3">
      <c r="A907" t="s">
        <v>919</v>
      </c>
      <c r="B907" s="3">
        <v>45253</v>
      </c>
      <c r="C907" s="7" t="str">
        <f t="shared" si="28"/>
        <v>2023</v>
      </c>
      <c r="D907" s="7" t="str">
        <f t="shared" si="29"/>
        <v>Nov</v>
      </c>
      <c r="E907" s="6" t="s">
        <v>2115</v>
      </c>
      <c r="F907" s="5" t="s">
        <v>2408</v>
      </c>
      <c r="G907">
        <v>1</v>
      </c>
      <c r="H907">
        <v>442.39</v>
      </c>
      <c r="I907" s="6" t="s">
        <v>2677</v>
      </c>
      <c r="J907" s="6" t="s">
        <v>3068</v>
      </c>
      <c r="K907" s="6" t="s">
        <v>3074</v>
      </c>
      <c r="L907" t="s">
        <v>3980</v>
      </c>
      <c r="M907">
        <v>6</v>
      </c>
      <c r="N907" t="s">
        <v>4276</v>
      </c>
      <c r="O907" t="s">
        <v>4281</v>
      </c>
      <c r="P907">
        <v>442.39</v>
      </c>
    </row>
    <row r="908" spans="1:16" x14ac:dyDescent="0.3">
      <c r="A908" t="s">
        <v>920</v>
      </c>
      <c r="B908" s="3">
        <v>45538</v>
      </c>
      <c r="C908" s="7" t="str">
        <f t="shared" si="28"/>
        <v>2024</v>
      </c>
      <c r="D908" s="7" t="str">
        <f t="shared" si="29"/>
        <v>Sept</v>
      </c>
      <c r="E908" s="6" t="s">
        <v>2116</v>
      </c>
      <c r="F908" s="5" t="s">
        <v>2403</v>
      </c>
      <c r="G908">
        <v>1</v>
      </c>
      <c r="H908">
        <v>62.12</v>
      </c>
      <c r="I908" s="6" t="s">
        <v>2977</v>
      </c>
      <c r="J908" s="6" t="s">
        <v>3069</v>
      </c>
      <c r="K908" s="6" t="s">
        <v>3072</v>
      </c>
      <c r="L908" t="s">
        <v>3981</v>
      </c>
      <c r="M908">
        <v>2</v>
      </c>
      <c r="N908" t="s">
        <v>4285</v>
      </c>
      <c r="O908" t="s">
        <v>4280</v>
      </c>
      <c r="P908">
        <v>62.12</v>
      </c>
    </row>
    <row r="909" spans="1:16" x14ac:dyDescent="0.3">
      <c r="A909" t="s">
        <v>921</v>
      </c>
      <c r="B909" s="3">
        <v>45508</v>
      </c>
      <c r="C909" s="7" t="str">
        <f t="shared" si="28"/>
        <v>2024</v>
      </c>
      <c r="D909" s="7" t="str">
        <f t="shared" si="29"/>
        <v>Aug</v>
      </c>
      <c r="E909" s="6" t="s">
        <v>2117</v>
      </c>
      <c r="F909" s="5" t="s">
        <v>2409</v>
      </c>
      <c r="G909">
        <v>5</v>
      </c>
      <c r="H909">
        <v>298.39</v>
      </c>
      <c r="I909" s="6" t="s">
        <v>2534</v>
      </c>
      <c r="J909" s="6" t="s">
        <v>3068</v>
      </c>
      <c r="K909" s="6" t="s">
        <v>3071</v>
      </c>
      <c r="L909" t="s">
        <v>3982</v>
      </c>
      <c r="M909">
        <v>7</v>
      </c>
      <c r="N909" t="s">
        <v>4277</v>
      </c>
      <c r="O909" t="s">
        <v>4279</v>
      </c>
      <c r="P909">
        <v>1491.95</v>
      </c>
    </row>
    <row r="910" spans="1:16" x14ac:dyDescent="0.3">
      <c r="A910" t="s">
        <v>922</v>
      </c>
      <c r="B910" s="3">
        <v>45783</v>
      </c>
      <c r="C910" s="7" t="str">
        <f t="shared" si="28"/>
        <v>2025</v>
      </c>
      <c r="D910" s="7" t="str">
        <f t="shared" si="29"/>
        <v>May</v>
      </c>
      <c r="E910" s="6" t="s">
        <v>2118</v>
      </c>
      <c r="F910" s="5" t="s">
        <v>2409</v>
      </c>
      <c r="G910">
        <v>2</v>
      </c>
      <c r="H910">
        <v>697.93</v>
      </c>
      <c r="I910" s="6" t="s">
        <v>2567</v>
      </c>
      <c r="J910" s="6" t="s">
        <v>3067</v>
      </c>
      <c r="K910" s="6" t="s">
        <v>3071</v>
      </c>
      <c r="L910" t="s">
        <v>3983</v>
      </c>
      <c r="M910">
        <v>2</v>
      </c>
      <c r="N910" t="s">
        <v>4275</v>
      </c>
      <c r="O910" t="s">
        <v>4282</v>
      </c>
      <c r="P910">
        <v>1395.86</v>
      </c>
    </row>
    <row r="911" spans="1:16" x14ac:dyDescent="0.3">
      <c r="A911" t="s">
        <v>923</v>
      </c>
      <c r="B911" s="3">
        <v>45439</v>
      </c>
      <c r="C911" s="7" t="str">
        <f t="shared" si="28"/>
        <v>2024</v>
      </c>
      <c r="D911" s="7" t="str">
        <f t="shared" si="29"/>
        <v>May</v>
      </c>
      <c r="E911" s="6" t="s">
        <v>2119</v>
      </c>
      <c r="F911" s="5" t="s">
        <v>2405</v>
      </c>
      <c r="G911">
        <v>2</v>
      </c>
      <c r="H911">
        <v>291.85000000000002</v>
      </c>
      <c r="I911" s="6" t="s">
        <v>2431</v>
      </c>
      <c r="J911" s="6" t="s">
        <v>3069</v>
      </c>
      <c r="K911" s="6" t="s">
        <v>3070</v>
      </c>
      <c r="L911" t="s">
        <v>3984</v>
      </c>
      <c r="M911">
        <v>5</v>
      </c>
      <c r="N911" t="s">
        <v>4276</v>
      </c>
      <c r="O911" t="s">
        <v>4278</v>
      </c>
      <c r="P911">
        <v>583.70000000000005</v>
      </c>
    </row>
    <row r="912" spans="1:16" x14ac:dyDescent="0.3">
      <c r="A912" t="s">
        <v>924</v>
      </c>
      <c r="B912" s="3">
        <v>45443</v>
      </c>
      <c r="C912" s="7" t="str">
        <f t="shared" si="28"/>
        <v>2024</v>
      </c>
      <c r="D912" s="7" t="str">
        <f t="shared" si="29"/>
        <v>May</v>
      </c>
      <c r="E912" s="6" t="s">
        <v>2120</v>
      </c>
      <c r="F912" s="5" t="s">
        <v>2407</v>
      </c>
      <c r="G912">
        <v>3</v>
      </c>
      <c r="H912">
        <v>308.98</v>
      </c>
      <c r="I912" s="6" t="s">
        <v>2481</v>
      </c>
      <c r="J912" s="6" t="s">
        <v>3069</v>
      </c>
      <c r="K912" s="6" t="s">
        <v>3073</v>
      </c>
      <c r="L912" t="s">
        <v>3985</v>
      </c>
      <c r="M912">
        <v>3</v>
      </c>
      <c r="N912" t="s">
        <v>4275</v>
      </c>
      <c r="O912" t="s">
        <v>4278</v>
      </c>
      <c r="P912">
        <v>926.94</v>
      </c>
    </row>
    <row r="913" spans="1:16" x14ac:dyDescent="0.3">
      <c r="A913" t="s">
        <v>925</v>
      </c>
      <c r="B913" s="3">
        <v>45517</v>
      </c>
      <c r="C913" s="7" t="str">
        <f t="shared" si="28"/>
        <v>2024</v>
      </c>
      <c r="D913" s="7" t="str">
        <f t="shared" si="29"/>
        <v>Aug</v>
      </c>
      <c r="E913" s="6" t="s">
        <v>2121</v>
      </c>
      <c r="F913" s="5" t="s">
        <v>2409</v>
      </c>
      <c r="G913">
        <v>5</v>
      </c>
      <c r="H913">
        <v>396.86</v>
      </c>
      <c r="I913" s="6" t="s">
        <v>2520</v>
      </c>
      <c r="J913" s="6" t="s">
        <v>3069</v>
      </c>
      <c r="K913" s="6" t="s">
        <v>3071</v>
      </c>
      <c r="L913" t="s">
        <v>3986</v>
      </c>
      <c r="M913">
        <v>9</v>
      </c>
      <c r="N913" t="s">
        <v>4275</v>
      </c>
      <c r="O913" t="s">
        <v>4278</v>
      </c>
      <c r="P913">
        <v>1984.3</v>
      </c>
    </row>
    <row r="914" spans="1:16" x14ac:dyDescent="0.3">
      <c r="A914" t="s">
        <v>926</v>
      </c>
      <c r="B914" s="3">
        <v>45313</v>
      </c>
      <c r="C914" s="7" t="str">
        <f t="shared" si="28"/>
        <v>2024</v>
      </c>
      <c r="D914" s="7" t="str">
        <f t="shared" si="29"/>
        <v>Jan</v>
      </c>
      <c r="E914" s="6" t="s">
        <v>2122</v>
      </c>
      <c r="F914" s="5" t="s">
        <v>2409</v>
      </c>
      <c r="G914">
        <v>2</v>
      </c>
      <c r="H914">
        <v>139.69</v>
      </c>
      <c r="I914" s="6" t="s">
        <v>2492</v>
      </c>
      <c r="J914" s="6" t="s">
        <v>3066</v>
      </c>
      <c r="K914" s="6" t="s">
        <v>3072</v>
      </c>
      <c r="L914" t="s">
        <v>3987</v>
      </c>
      <c r="M914">
        <v>7</v>
      </c>
      <c r="N914" t="s">
        <v>4276</v>
      </c>
      <c r="O914" t="s">
        <v>4280</v>
      </c>
      <c r="P914">
        <v>279.38</v>
      </c>
    </row>
    <row r="915" spans="1:16" x14ac:dyDescent="0.3">
      <c r="A915" t="s">
        <v>927</v>
      </c>
      <c r="B915" s="3">
        <v>44973</v>
      </c>
      <c r="C915" s="7" t="str">
        <f t="shared" si="28"/>
        <v>2023</v>
      </c>
      <c r="D915" s="7" t="str">
        <f t="shared" si="29"/>
        <v>Feb</v>
      </c>
      <c r="E915" s="6" t="s">
        <v>2123</v>
      </c>
      <c r="F915" s="5" t="s">
        <v>2407</v>
      </c>
      <c r="G915">
        <v>5</v>
      </c>
      <c r="H915">
        <v>475.95</v>
      </c>
      <c r="I915" s="6" t="s">
        <v>2583</v>
      </c>
      <c r="J915" s="6" t="s">
        <v>3067</v>
      </c>
      <c r="K915" s="6" t="s">
        <v>3072</v>
      </c>
      <c r="L915" t="s">
        <v>3988</v>
      </c>
      <c r="M915">
        <v>8</v>
      </c>
      <c r="N915" t="s">
        <v>4277</v>
      </c>
      <c r="O915" t="s">
        <v>4281</v>
      </c>
      <c r="P915">
        <v>2379.75</v>
      </c>
    </row>
    <row r="916" spans="1:16" x14ac:dyDescent="0.3">
      <c r="A916" t="s">
        <v>928</v>
      </c>
      <c r="B916" s="3">
        <v>45698</v>
      </c>
      <c r="C916" s="7" t="str">
        <f t="shared" si="28"/>
        <v>2025</v>
      </c>
      <c r="D916" s="7" t="str">
        <f t="shared" si="29"/>
        <v>Feb</v>
      </c>
      <c r="E916" s="6" t="s">
        <v>2124</v>
      </c>
      <c r="F916" s="5" t="s">
        <v>2409</v>
      </c>
      <c r="G916">
        <v>1</v>
      </c>
      <c r="H916">
        <v>626.6</v>
      </c>
      <c r="I916" s="6" t="s">
        <v>2751</v>
      </c>
      <c r="J916" s="6" t="s">
        <v>3068</v>
      </c>
      <c r="K916" s="6" t="s">
        <v>3072</v>
      </c>
      <c r="L916" t="s">
        <v>3989</v>
      </c>
      <c r="M916">
        <v>4</v>
      </c>
      <c r="N916" t="s">
        <v>4277</v>
      </c>
      <c r="O916" t="s">
        <v>4281</v>
      </c>
      <c r="P916">
        <v>626.6</v>
      </c>
    </row>
    <row r="917" spans="1:16" x14ac:dyDescent="0.3">
      <c r="A917" t="s">
        <v>929</v>
      </c>
      <c r="B917" s="3">
        <v>45338</v>
      </c>
      <c r="C917" s="7" t="str">
        <f t="shared" si="28"/>
        <v>2024</v>
      </c>
      <c r="D917" s="7" t="str">
        <f t="shared" si="29"/>
        <v>Feb</v>
      </c>
      <c r="E917" s="6" t="s">
        <v>2125</v>
      </c>
      <c r="F917" s="5" t="s">
        <v>2408</v>
      </c>
      <c r="G917">
        <v>4</v>
      </c>
      <c r="H917">
        <v>502.99</v>
      </c>
      <c r="I917" s="6" t="s">
        <v>2978</v>
      </c>
      <c r="J917" s="6" t="s">
        <v>3065</v>
      </c>
      <c r="K917" s="6" t="s">
        <v>3070</v>
      </c>
      <c r="L917" t="s">
        <v>3990</v>
      </c>
      <c r="M917">
        <v>4</v>
      </c>
      <c r="N917" t="s">
        <v>4277</v>
      </c>
      <c r="O917" t="s">
        <v>4279</v>
      </c>
      <c r="P917">
        <v>2011.96</v>
      </c>
    </row>
    <row r="918" spans="1:16" x14ac:dyDescent="0.3">
      <c r="A918" t="s">
        <v>930</v>
      </c>
      <c r="B918" s="3">
        <v>45464</v>
      </c>
      <c r="C918" s="7" t="str">
        <f t="shared" si="28"/>
        <v>2024</v>
      </c>
      <c r="D918" s="7" t="str">
        <f t="shared" si="29"/>
        <v>Jun</v>
      </c>
      <c r="E918" s="6" t="s">
        <v>2126</v>
      </c>
      <c r="F918" s="5" t="s">
        <v>2407</v>
      </c>
      <c r="G918">
        <v>5</v>
      </c>
      <c r="H918">
        <v>578.83000000000004</v>
      </c>
      <c r="I918" s="6" t="s">
        <v>2913</v>
      </c>
      <c r="J918" s="6" t="s">
        <v>3069</v>
      </c>
      <c r="K918" s="6" t="s">
        <v>3072</v>
      </c>
      <c r="L918" t="s">
        <v>3991</v>
      </c>
      <c r="M918">
        <v>6</v>
      </c>
      <c r="N918" t="s">
        <v>4285</v>
      </c>
      <c r="O918" t="s">
        <v>4279</v>
      </c>
      <c r="P918">
        <v>2894.15</v>
      </c>
    </row>
    <row r="919" spans="1:16" x14ac:dyDescent="0.3">
      <c r="A919" t="s">
        <v>931</v>
      </c>
      <c r="B919" s="3">
        <v>45677</v>
      </c>
      <c r="C919" s="7" t="str">
        <f t="shared" si="28"/>
        <v>2025</v>
      </c>
      <c r="D919" s="7" t="str">
        <f t="shared" si="29"/>
        <v>Jan</v>
      </c>
      <c r="E919" s="6" t="s">
        <v>2127</v>
      </c>
      <c r="F919" s="5" t="s">
        <v>2408</v>
      </c>
      <c r="G919">
        <v>5</v>
      </c>
      <c r="H919">
        <v>383.82</v>
      </c>
      <c r="I919" s="6" t="s">
        <v>2979</v>
      </c>
      <c r="J919" s="6" t="s">
        <v>3067</v>
      </c>
      <c r="K919" s="6" t="s">
        <v>3072</v>
      </c>
      <c r="L919" t="s">
        <v>3992</v>
      </c>
      <c r="M919">
        <v>7</v>
      </c>
      <c r="N919" t="s">
        <v>4276</v>
      </c>
      <c r="O919" t="s">
        <v>4282</v>
      </c>
      <c r="P919">
        <v>1919.1</v>
      </c>
    </row>
    <row r="920" spans="1:16" x14ac:dyDescent="0.3">
      <c r="A920" t="s">
        <v>932</v>
      </c>
      <c r="B920" s="3">
        <v>45832</v>
      </c>
      <c r="C920" s="7" t="str">
        <f t="shared" si="28"/>
        <v>2025</v>
      </c>
      <c r="D920" s="7" t="str">
        <f t="shared" si="29"/>
        <v>Jun</v>
      </c>
      <c r="E920" s="6" t="s">
        <v>2128</v>
      </c>
      <c r="F920" s="5" t="s">
        <v>2408</v>
      </c>
      <c r="G920">
        <v>5</v>
      </c>
      <c r="H920">
        <v>368.25</v>
      </c>
      <c r="I920" s="6" t="s">
        <v>2417</v>
      </c>
      <c r="J920" s="6" t="s">
        <v>3066</v>
      </c>
      <c r="K920" s="6" t="s">
        <v>3073</v>
      </c>
      <c r="L920" t="s">
        <v>3993</v>
      </c>
      <c r="M920">
        <v>5</v>
      </c>
      <c r="N920" t="s">
        <v>4285</v>
      </c>
      <c r="O920" t="s">
        <v>4278</v>
      </c>
      <c r="P920">
        <v>1841.25</v>
      </c>
    </row>
    <row r="921" spans="1:16" x14ac:dyDescent="0.3">
      <c r="A921" t="s">
        <v>933</v>
      </c>
      <c r="B921" s="3">
        <v>45695</v>
      </c>
      <c r="C921" s="7" t="str">
        <f t="shared" si="28"/>
        <v>2025</v>
      </c>
      <c r="D921" s="7" t="str">
        <f t="shared" si="29"/>
        <v>Feb</v>
      </c>
      <c r="E921" s="6" t="s">
        <v>2129</v>
      </c>
      <c r="F921" s="5" t="s">
        <v>2407</v>
      </c>
      <c r="G921">
        <v>2</v>
      </c>
      <c r="H921">
        <v>374.6</v>
      </c>
      <c r="I921" s="6" t="s">
        <v>2522</v>
      </c>
      <c r="J921" s="6" t="s">
        <v>3066</v>
      </c>
      <c r="K921" s="6" t="s">
        <v>3070</v>
      </c>
      <c r="L921" t="s">
        <v>3994</v>
      </c>
      <c r="M921">
        <v>3</v>
      </c>
      <c r="N921" t="s">
        <v>4276</v>
      </c>
      <c r="O921" t="s">
        <v>4279</v>
      </c>
      <c r="P921">
        <v>749.2</v>
      </c>
    </row>
    <row r="922" spans="1:16" x14ac:dyDescent="0.3">
      <c r="A922" t="s">
        <v>934</v>
      </c>
      <c r="B922" s="3">
        <v>45728</v>
      </c>
      <c r="C922" s="7" t="str">
        <f t="shared" si="28"/>
        <v>2025</v>
      </c>
      <c r="D922" s="7" t="str">
        <f t="shared" si="29"/>
        <v>Mar</v>
      </c>
      <c r="E922" s="6" t="s">
        <v>2130</v>
      </c>
      <c r="F922" s="5" t="s">
        <v>2405</v>
      </c>
      <c r="G922">
        <v>2</v>
      </c>
      <c r="H922">
        <v>428.09</v>
      </c>
      <c r="I922" s="6" t="s">
        <v>2674</v>
      </c>
      <c r="J922" s="6" t="s">
        <v>3067</v>
      </c>
      <c r="K922" s="6" t="s">
        <v>3072</v>
      </c>
      <c r="L922" t="s">
        <v>3995</v>
      </c>
      <c r="M922">
        <v>6</v>
      </c>
      <c r="N922" t="s">
        <v>4285</v>
      </c>
      <c r="O922" t="s">
        <v>4278</v>
      </c>
      <c r="P922">
        <v>856.18</v>
      </c>
    </row>
    <row r="923" spans="1:16" x14ac:dyDescent="0.3">
      <c r="A923" t="s">
        <v>935</v>
      </c>
      <c r="B923" s="3">
        <v>45131</v>
      </c>
      <c r="C923" s="7" t="str">
        <f t="shared" si="28"/>
        <v>2023</v>
      </c>
      <c r="D923" s="7" t="str">
        <f t="shared" si="29"/>
        <v>Jul</v>
      </c>
      <c r="E923" s="6" t="s">
        <v>2131</v>
      </c>
      <c r="F923" s="5" t="s">
        <v>2405</v>
      </c>
      <c r="G923">
        <v>1</v>
      </c>
      <c r="H923">
        <v>438.93</v>
      </c>
      <c r="I923" s="6" t="s">
        <v>2980</v>
      </c>
      <c r="J923" s="6" t="s">
        <v>3068</v>
      </c>
      <c r="K923" s="6" t="s">
        <v>3071</v>
      </c>
      <c r="L923" t="s">
        <v>3996</v>
      </c>
      <c r="M923">
        <v>3</v>
      </c>
      <c r="N923" t="s">
        <v>4275</v>
      </c>
      <c r="O923" t="s">
        <v>4279</v>
      </c>
      <c r="P923">
        <v>438.93</v>
      </c>
    </row>
    <row r="924" spans="1:16" x14ac:dyDescent="0.3">
      <c r="A924" t="s">
        <v>936</v>
      </c>
      <c r="B924" s="3">
        <v>45460</v>
      </c>
      <c r="C924" s="7" t="str">
        <f t="shared" si="28"/>
        <v>2024</v>
      </c>
      <c r="D924" s="7" t="str">
        <f t="shared" si="29"/>
        <v>Jun</v>
      </c>
      <c r="E924" s="6" t="s">
        <v>2132</v>
      </c>
      <c r="F924" s="5" t="s">
        <v>2409</v>
      </c>
      <c r="G924">
        <v>2</v>
      </c>
      <c r="H924">
        <v>563.82000000000005</v>
      </c>
      <c r="I924" s="6" t="s">
        <v>2981</v>
      </c>
      <c r="J924" s="6" t="s">
        <v>3067</v>
      </c>
      <c r="K924" s="6" t="s">
        <v>3074</v>
      </c>
      <c r="L924" t="s">
        <v>3997</v>
      </c>
      <c r="M924">
        <v>3</v>
      </c>
      <c r="N924" t="s">
        <v>4285</v>
      </c>
      <c r="O924" t="s">
        <v>4278</v>
      </c>
      <c r="P924">
        <v>1127.6400000000001</v>
      </c>
    </row>
    <row r="925" spans="1:16" x14ac:dyDescent="0.3">
      <c r="A925" t="s">
        <v>937</v>
      </c>
      <c r="B925" s="3">
        <v>44968</v>
      </c>
      <c r="C925" s="7" t="str">
        <f t="shared" si="28"/>
        <v>2023</v>
      </c>
      <c r="D925" s="7" t="str">
        <f t="shared" si="29"/>
        <v>Feb</v>
      </c>
      <c r="E925" s="6" t="s">
        <v>2133</v>
      </c>
      <c r="F925" s="5" t="s">
        <v>2407</v>
      </c>
      <c r="G925">
        <v>3</v>
      </c>
      <c r="H925">
        <v>649.92999999999995</v>
      </c>
      <c r="I925" s="6" t="s">
        <v>2979</v>
      </c>
      <c r="J925" s="6" t="s">
        <v>3067</v>
      </c>
      <c r="K925" s="6" t="s">
        <v>3074</v>
      </c>
      <c r="L925" t="s">
        <v>3998</v>
      </c>
      <c r="M925">
        <v>7</v>
      </c>
      <c r="N925" t="s">
        <v>4277</v>
      </c>
      <c r="O925" t="s">
        <v>4281</v>
      </c>
      <c r="P925">
        <v>1949.79</v>
      </c>
    </row>
    <row r="926" spans="1:16" x14ac:dyDescent="0.3">
      <c r="A926" t="s">
        <v>938</v>
      </c>
      <c r="B926" s="3">
        <v>45738</v>
      </c>
      <c r="C926" s="7" t="str">
        <f t="shared" si="28"/>
        <v>2025</v>
      </c>
      <c r="D926" s="7" t="str">
        <f t="shared" si="29"/>
        <v>Mar</v>
      </c>
      <c r="E926" s="6" t="s">
        <v>2134</v>
      </c>
      <c r="F926" s="5" t="s">
        <v>2407</v>
      </c>
      <c r="G926">
        <v>5</v>
      </c>
      <c r="H926">
        <v>268.43</v>
      </c>
      <c r="I926" s="6" t="s">
        <v>2802</v>
      </c>
      <c r="J926" s="6" t="s">
        <v>3069</v>
      </c>
      <c r="K926" s="6" t="s">
        <v>3072</v>
      </c>
      <c r="L926" t="s">
        <v>3999</v>
      </c>
      <c r="M926">
        <v>5</v>
      </c>
      <c r="N926" t="s">
        <v>4275</v>
      </c>
      <c r="O926" t="s">
        <v>4280</v>
      </c>
      <c r="P926">
        <v>1342.15</v>
      </c>
    </row>
    <row r="927" spans="1:16" x14ac:dyDescent="0.3">
      <c r="A927" t="s">
        <v>939</v>
      </c>
      <c r="B927" s="3">
        <v>45646</v>
      </c>
      <c r="C927" s="7" t="str">
        <f t="shared" si="28"/>
        <v>2024</v>
      </c>
      <c r="D927" s="7" t="str">
        <f t="shared" si="29"/>
        <v>Dec</v>
      </c>
      <c r="E927" s="6" t="s">
        <v>2135</v>
      </c>
      <c r="F927" s="5" t="s">
        <v>2403</v>
      </c>
      <c r="G927">
        <v>5</v>
      </c>
      <c r="H927">
        <v>502.47</v>
      </c>
      <c r="I927" s="6" t="s">
        <v>2733</v>
      </c>
      <c r="J927" s="6" t="s">
        <v>3066</v>
      </c>
      <c r="K927" s="6" t="s">
        <v>3070</v>
      </c>
      <c r="L927" t="s">
        <v>4000</v>
      </c>
      <c r="M927">
        <v>10</v>
      </c>
      <c r="N927" t="s">
        <v>4277</v>
      </c>
      <c r="O927" t="s">
        <v>4280</v>
      </c>
      <c r="P927">
        <v>2512.35</v>
      </c>
    </row>
    <row r="928" spans="1:16" x14ac:dyDescent="0.3">
      <c r="A928" t="s">
        <v>940</v>
      </c>
      <c r="B928" s="3">
        <v>45371</v>
      </c>
      <c r="C928" s="7" t="str">
        <f t="shared" si="28"/>
        <v>2024</v>
      </c>
      <c r="D928" s="7" t="str">
        <f t="shared" si="29"/>
        <v>Mar</v>
      </c>
      <c r="E928" s="6" t="s">
        <v>2136</v>
      </c>
      <c r="F928" s="5" t="s">
        <v>2409</v>
      </c>
      <c r="G928">
        <v>1</v>
      </c>
      <c r="H928">
        <v>26.95</v>
      </c>
      <c r="I928" s="6" t="s">
        <v>2774</v>
      </c>
      <c r="J928" s="6" t="s">
        <v>3069</v>
      </c>
      <c r="K928" s="6" t="s">
        <v>3073</v>
      </c>
      <c r="L928" t="s">
        <v>4001</v>
      </c>
      <c r="M928">
        <v>1</v>
      </c>
      <c r="N928" t="s">
        <v>4277</v>
      </c>
      <c r="O928" t="s">
        <v>4280</v>
      </c>
      <c r="P928">
        <v>26.95</v>
      </c>
    </row>
    <row r="929" spans="1:16" x14ac:dyDescent="0.3">
      <c r="A929" t="s">
        <v>941</v>
      </c>
      <c r="B929" s="3">
        <v>44971</v>
      </c>
      <c r="C929" s="7" t="str">
        <f t="shared" si="28"/>
        <v>2023</v>
      </c>
      <c r="D929" s="7" t="str">
        <f t="shared" si="29"/>
        <v>Feb</v>
      </c>
      <c r="E929" s="6" t="s">
        <v>2137</v>
      </c>
      <c r="F929" s="5" t="s">
        <v>2408</v>
      </c>
      <c r="G929">
        <v>4</v>
      </c>
      <c r="H929">
        <v>64.69</v>
      </c>
      <c r="I929" s="6" t="s">
        <v>2873</v>
      </c>
      <c r="J929" s="6" t="s">
        <v>3065</v>
      </c>
      <c r="K929" s="6" t="s">
        <v>3070</v>
      </c>
      <c r="L929" t="s">
        <v>4002</v>
      </c>
      <c r="M929">
        <v>7</v>
      </c>
      <c r="N929" t="s">
        <v>4277</v>
      </c>
      <c r="O929" t="s">
        <v>4282</v>
      </c>
      <c r="P929">
        <v>258.76</v>
      </c>
    </row>
    <row r="930" spans="1:16" x14ac:dyDescent="0.3">
      <c r="A930" t="s">
        <v>942</v>
      </c>
      <c r="B930" s="3">
        <v>45421</v>
      </c>
      <c r="C930" s="7" t="str">
        <f t="shared" si="28"/>
        <v>2024</v>
      </c>
      <c r="D930" s="7" t="str">
        <f t="shared" si="29"/>
        <v>May</v>
      </c>
      <c r="E930" s="6" t="s">
        <v>2138</v>
      </c>
      <c r="F930" s="5" t="s">
        <v>2408</v>
      </c>
      <c r="G930">
        <v>3</v>
      </c>
      <c r="H930">
        <v>247.11</v>
      </c>
      <c r="I930" s="6" t="s">
        <v>2628</v>
      </c>
      <c r="J930" s="6" t="s">
        <v>3065</v>
      </c>
      <c r="K930" s="6" t="s">
        <v>3072</v>
      </c>
      <c r="L930" t="s">
        <v>4003</v>
      </c>
      <c r="M930">
        <v>3</v>
      </c>
      <c r="N930" t="s">
        <v>4277</v>
      </c>
      <c r="O930" t="s">
        <v>4279</v>
      </c>
      <c r="P930">
        <v>741.33</v>
      </c>
    </row>
    <row r="931" spans="1:16" x14ac:dyDescent="0.3">
      <c r="A931" t="s">
        <v>943</v>
      </c>
      <c r="B931" s="3">
        <v>45581</v>
      </c>
      <c r="C931" s="7" t="str">
        <f t="shared" si="28"/>
        <v>2024</v>
      </c>
      <c r="D931" s="7" t="str">
        <f t="shared" si="29"/>
        <v>Oct</v>
      </c>
      <c r="E931" s="6" t="s">
        <v>2139</v>
      </c>
      <c r="F931" s="5" t="s">
        <v>2405</v>
      </c>
      <c r="G931">
        <v>2</v>
      </c>
      <c r="H931">
        <v>536.25</v>
      </c>
      <c r="I931" s="6" t="s">
        <v>2568</v>
      </c>
      <c r="J931" s="6" t="s">
        <v>3065</v>
      </c>
      <c r="K931" s="6" t="s">
        <v>3074</v>
      </c>
      <c r="L931" t="s">
        <v>4004</v>
      </c>
      <c r="M931">
        <v>3</v>
      </c>
      <c r="N931" t="s">
        <v>4285</v>
      </c>
      <c r="O931" t="s">
        <v>4280</v>
      </c>
      <c r="P931">
        <v>1072.5</v>
      </c>
    </row>
    <row r="932" spans="1:16" x14ac:dyDescent="0.3">
      <c r="A932" t="s">
        <v>944</v>
      </c>
      <c r="B932" s="3">
        <v>45642</v>
      </c>
      <c r="C932" s="7" t="str">
        <f t="shared" si="28"/>
        <v>2024</v>
      </c>
      <c r="D932" s="7" t="str">
        <f t="shared" si="29"/>
        <v>Dec</v>
      </c>
      <c r="E932" s="6" t="s">
        <v>2140</v>
      </c>
      <c r="F932" s="5" t="s">
        <v>2404</v>
      </c>
      <c r="G932">
        <v>2</v>
      </c>
      <c r="H932">
        <v>456.04</v>
      </c>
      <c r="I932" s="6" t="s">
        <v>2427</v>
      </c>
      <c r="J932" s="6" t="s">
        <v>3065</v>
      </c>
      <c r="K932" s="6" t="s">
        <v>3072</v>
      </c>
      <c r="L932" t="s">
        <v>4005</v>
      </c>
      <c r="M932">
        <v>4</v>
      </c>
      <c r="N932" t="s">
        <v>4276</v>
      </c>
      <c r="O932" t="s">
        <v>4280</v>
      </c>
      <c r="P932">
        <v>912.08</v>
      </c>
    </row>
    <row r="933" spans="1:16" x14ac:dyDescent="0.3">
      <c r="A933" t="s">
        <v>945</v>
      </c>
      <c r="B933" s="3">
        <v>45292</v>
      </c>
      <c r="C933" s="7" t="str">
        <f t="shared" si="28"/>
        <v>2024</v>
      </c>
      <c r="D933" s="7" t="str">
        <f t="shared" si="29"/>
        <v>Jan</v>
      </c>
      <c r="E933" s="6" t="s">
        <v>2141</v>
      </c>
      <c r="F933" s="5" t="s">
        <v>2407</v>
      </c>
      <c r="G933">
        <v>2</v>
      </c>
      <c r="H933">
        <v>40.229999999999997</v>
      </c>
      <c r="I933" s="6" t="s">
        <v>2460</v>
      </c>
      <c r="J933" s="6" t="s">
        <v>3067</v>
      </c>
      <c r="K933" s="6" t="s">
        <v>3071</v>
      </c>
      <c r="L933" t="s">
        <v>4006</v>
      </c>
      <c r="M933">
        <v>4</v>
      </c>
      <c r="N933" t="s">
        <v>4275</v>
      </c>
      <c r="O933" t="s">
        <v>4282</v>
      </c>
      <c r="P933">
        <v>80.459999999999994</v>
      </c>
    </row>
    <row r="934" spans="1:16" x14ac:dyDescent="0.3">
      <c r="A934" t="s">
        <v>946</v>
      </c>
      <c r="B934" s="3">
        <v>45011</v>
      </c>
      <c r="C934" s="7" t="str">
        <f t="shared" si="28"/>
        <v>2023</v>
      </c>
      <c r="D934" s="7" t="str">
        <f t="shared" si="29"/>
        <v>Mar</v>
      </c>
      <c r="E934" s="6" t="s">
        <v>2142</v>
      </c>
      <c r="F934" s="5" t="s">
        <v>2408</v>
      </c>
      <c r="G934">
        <v>2</v>
      </c>
      <c r="H934">
        <v>72.39</v>
      </c>
      <c r="I934" s="6" t="s">
        <v>2982</v>
      </c>
      <c r="J934" s="6" t="s">
        <v>3066</v>
      </c>
      <c r="K934" s="6" t="s">
        <v>3073</v>
      </c>
      <c r="L934" t="s">
        <v>4007</v>
      </c>
      <c r="M934">
        <v>7</v>
      </c>
      <c r="N934" t="s">
        <v>4277</v>
      </c>
      <c r="O934" t="s">
        <v>4278</v>
      </c>
      <c r="P934">
        <v>144.78</v>
      </c>
    </row>
    <row r="935" spans="1:16" x14ac:dyDescent="0.3">
      <c r="A935" t="s">
        <v>947</v>
      </c>
      <c r="B935" s="3">
        <v>44952</v>
      </c>
      <c r="C935" s="7" t="str">
        <f t="shared" si="28"/>
        <v>2023</v>
      </c>
      <c r="D935" s="7" t="str">
        <f t="shared" si="29"/>
        <v>Jan</v>
      </c>
      <c r="E935" s="6" t="s">
        <v>2143</v>
      </c>
      <c r="F935" s="5" t="s">
        <v>2403</v>
      </c>
      <c r="G935">
        <v>2</v>
      </c>
      <c r="H935">
        <v>394.16</v>
      </c>
      <c r="I935" s="6" t="s">
        <v>2617</v>
      </c>
      <c r="J935" s="6" t="s">
        <v>3066</v>
      </c>
      <c r="K935" s="6" t="s">
        <v>3070</v>
      </c>
      <c r="L935" t="s">
        <v>4008</v>
      </c>
      <c r="M935">
        <v>2</v>
      </c>
      <c r="N935" t="s">
        <v>4285</v>
      </c>
      <c r="O935" t="s">
        <v>4279</v>
      </c>
      <c r="P935">
        <v>788.32</v>
      </c>
    </row>
    <row r="936" spans="1:16" x14ac:dyDescent="0.3">
      <c r="A936" t="s">
        <v>948</v>
      </c>
      <c r="B936" s="3">
        <v>45809</v>
      </c>
      <c r="C936" s="7" t="str">
        <f t="shared" si="28"/>
        <v>2025</v>
      </c>
      <c r="D936" s="7" t="str">
        <f t="shared" si="29"/>
        <v>Jun</v>
      </c>
      <c r="E936" s="6" t="s">
        <v>2144</v>
      </c>
      <c r="F936" s="5" t="s">
        <v>2408</v>
      </c>
      <c r="G936">
        <v>4</v>
      </c>
      <c r="H936">
        <v>119.84</v>
      </c>
      <c r="I936" s="6" t="s">
        <v>2604</v>
      </c>
      <c r="J936" s="6" t="s">
        <v>3068</v>
      </c>
      <c r="K936" s="6" t="s">
        <v>3070</v>
      </c>
      <c r="L936" t="s">
        <v>4009</v>
      </c>
      <c r="M936">
        <v>8</v>
      </c>
      <c r="N936" t="s">
        <v>4276</v>
      </c>
      <c r="O936" t="s">
        <v>4279</v>
      </c>
      <c r="P936">
        <v>479.36</v>
      </c>
    </row>
    <row r="937" spans="1:16" x14ac:dyDescent="0.3">
      <c r="A937" t="s">
        <v>949</v>
      </c>
      <c r="B937" s="3">
        <v>45254</v>
      </c>
      <c r="C937" s="7" t="str">
        <f t="shared" si="28"/>
        <v>2023</v>
      </c>
      <c r="D937" s="7" t="str">
        <f t="shared" si="29"/>
        <v>Nov</v>
      </c>
      <c r="E937" s="6" t="s">
        <v>2145</v>
      </c>
      <c r="F937" s="5" t="s">
        <v>2404</v>
      </c>
      <c r="G937">
        <v>3</v>
      </c>
      <c r="H937">
        <v>692.71</v>
      </c>
      <c r="I937" s="6" t="s">
        <v>2692</v>
      </c>
      <c r="J937" s="6" t="s">
        <v>3067</v>
      </c>
      <c r="K937" s="6" t="s">
        <v>3073</v>
      </c>
      <c r="L937" t="s">
        <v>4010</v>
      </c>
      <c r="M937">
        <v>3</v>
      </c>
      <c r="N937" t="s">
        <v>4276</v>
      </c>
      <c r="O937" t="s">
        <v>4278</v>
      </c>
      <c r="P937">
        <v>2078.13</v>
      </c>
    </row>
    <row r="938" spans="1:16" x14ac:dyDescent="0.3">
      <c r="A938" t="s">
        <v>950</v>
      </c>
      <c r="B938" s="3">
        <v>45303</v>
      </c>
      <c r="C938" s="7" t="str">
        <f t="shared" si="28"/>
        <v>2024</v>
      </c>
      <c r="D938" s="7" t="str">
        <f t="shared" si="29"/>
        <v>Jan</v>
      </c>
      <c r="E938" s="6" t="s">
        <v>2146</v>
      </c>
      <c r="F938" s="5" t="s">
        <v>2406</v>
      </c>
      <c r="G938">
        <v>4</v>
      </c>
      <c r="H938">
        <v>56.66</v>
      </c>
      <c r="I938" s="6" t="s">
        <v>2554</v>
      </c>
      <c r="J938" s="6" t="s">
        <v>3066</v>
      </c>
      <c r="K938" s="6" t="s">
        <v>3073</v>
      </c>
      <c r="L938" t="s">
        <v>4011</v>
      </c>
      <c r="M938">
        <v>4</v>
      </c>
      <c r="N938" t="s">
        <v>4275</v>
      </c>
      <c r="O938" t="s">
        <v>4278</v>
      </c>
      <c r="P938">
        <v>226.64</v>
      </c>
    </row>
    <row r="939" spans="1:16" x14ac:dyDescent="0.3">
      <c r="A939" t="s">
        <v>951</v>
      </c>
      <c r="B939" s="3">
        <v>45307</v>
      </c>
      <c r="C939" s="7" t="str">
        <f t="shared" si="28"/>
        <v>2024</v>
      </c>
      <c r="D939" s="7" t="str">
        <f t="shared" si="29"/>
        <v>Jan</v>
      </c>
      <c r="E939" s="6" t="s">
        <v>2147</v>
      </c>
      <c r="F939" s="5" t="s">
        <v>2406</v>
      </c>
      <c r="G939">
        <v>2</v>
      </c>
      <c r="H939">
        <v>298.52999999999997</v>
      </c>
      <c r="I939" s="6" t="s">
        <v>2735</v>
      </c>
      <c r="J939" s="6" t="s">
        <v>3065</v>
      </c>
      <c r="K939" s="6" t="s">
        <v>3071</v>
      </c>
      <c r="L939" t="s">
        <v>4012</v>
      </c>
      <c r="M939">
        <v>5</v>
      </c>
      <c r="N939" t="s">
        <v>4277</v>
      </c>
      <c r="O939" t="s">
        <v>4280</v>
      </c>
      <c r="P939">
        <v>597.05999999999995</v>
      </c>
    </row>
    <row r="940" spans="1:16" x14ac:dyDescent="0.3">
      <c r="A940" t="s">
        <v>952</v>
      </c>
      <c r="B940" s="3">
        <v>45119</v>
      </c>
      <c r="C940" s="7" t="str">
        <f t="shared" si="28"/>
        <v>2023</v>
      </c>
      <c r="D940" s="7" t="str">
        <f t="shared" si="29"/>
        <v>Jul</v>
      </c>
      <c r="E940" s="6" t="s">
        <v>2148</v>
      </c>
      <c r="F940" s="5" t="s">
        <v>2406</v>
      </c>
      <c r="G940">
        <v>3</v>
      </c>
      <c r="H940">
        <v>331.46</v>
      </c>
      <c r="I940" s="6" t="s">
        <v>2796</v>
      </c>
      <c r="J940" s="6" t="s">
        <v>3067</v>
      </c>
      <c r="K940" s="6" t="s">
        <v>3071</v>
      </c>
      <c r="L940" t="s">
        <v>4013</v>
      </c>
      <c r="M940">
        <v>6</v>
      </c>
      <c r="N940" t="s">
        <v>4277</v>
      </c>
      <c r="O940" t="s">
        <v>4279</v>
      </c>
      <c r="P940">
        <v>994.37999999999988</v>
      </c>
    </row>
    <row r="941" spans="1:16" x14ac:dyDescent="0.3">
      <c r="A941" t="s">
        <v>953</v>
      </c>
      <c r="B941" s="3">
        <v>45763</v>
      </c>
      <c r="C941" s="7" t="str">
        <f t="shared" si="28"/>
        <v>2025</v>
      </c>
      <c r="D941" s="7" t="str">
        <f t="shared" si="29"/>
        <v>Apr</v>
      </c>
      <c r="E941" s="6" t="s">
        <v>2149</v>
      </c>
      <c r="F941" s="5" t="s">
        <v>2408</v>
      </c>
      <c r="G941">
        <v>2</v>
      </c>
      <c r="H941">
        <v>521.4</v>
      </c>
      <c r="I941" s="6" t="s">
        <v>2983</v>
      </c>
      <c r="J941" s="6" t="s">
        <v>3069</v>
      </c>
      <c r="K941" s="6" t="s">
        <v>3073</v>
      </c>
      <c r="L941" t="s">
        <v>4014</v>
      </c>
      <c r="M941">
        <v>7</v>
      </c>
      <c r="N941" t="s">
        <v>4275</v>
      </c>
      <c r="O941" t="s">
        <v>4278</v>
      </c>
      <c r="P941">
        <v>1042.8</v>
      </c>
    </row>
    <row r="942" spans="1:16" x14ac:dyDescent="0.3">
      <c r="A942" t="s">
        <v>954</v>
      </c>
      <c r="B942" s="3">
        <v>45012</v>
      </c>
      <c r="C942" s="7" t="str">
        <f t="shared" si="28"/>
        <v>2023</v>
      </c>
      <c r="D942" s="7" t="str">
        <f t="shared" si="29"/>
        <v>Mar</v>
      </c>
      <c r="E942" s="6" t="s">
        <v>2150</v>
      </c>
      <c r="F942" s="5" t="s">
        <v>2407</v>
      </c>
      <c r="G942">
        <v>4</v>
      </c>
      <c r="H942">
        <v>305.32</v>
      </c>
      <c r="I942" s="6" t="s">
        <v>2984</v>
      </c>
      <c r="J942" s="6" t="s">
        <v>3066</v>
      </c>
      <c r="K942" s="6" t="s">
        <v>3071</v>
      </c>
      <c r="L942" t="s">
        <v>4015</v>
      </c>
      <c r="M942">
        <v>4</v>
      </c>
      <c r="N942" t="s">
        <v>4275</v>
      </c>
      <c r="O942" t="s">
        <v>4282</v>
      </c>
      <c r="P942">
        <v>1221.28</v>
      </c>
    </row>
    <row r="943" spans="1:16" x14ac:dyDescent="0.3">
      <c r="A943" t="s">
        <v>955</v>
      </c>
      <c r="B943" s="3">
        <v>45124</v>
      </c>
      <c r="C943" s="7" t="str">
        <f t="shared" si="28"/>
        <v>2023</v>
      </c>
      <c r="D943" s="7" t="str">
        <f t="shared" si="29"/>
        <v>Jul</v>
      </c>
      <c r="E943" s="6" t="s">
        <v>1653</v>
      </c>
      <c r="F943" s="5" t="s">
        <v>2407</v>
      </c>
      <c r="G943">
        <v>5</v>
      </c>
      <c r="H943">
        <v>111.7</v>
      </c>
      <c r="I943" s="6" t="s">
        <v>2690</v>
      </c>
      <c r="J943" s="6" t="s">
        <v>3067</v>
      </c>
      <c r="K943" s="6" t="s">
        <v>3071</v>
      </c>
      <c r="L943" t="s">
        <v>4016</v>
      </c>
      <c r="M943">
        <v>9</v>
      </c>
      <c r="N943" t="s">
        <v>4276</v>
      </c>
      <c r="O943" t="s">
        <v>4280</v>
      </c>
      <c r="P943">
        <v>558.5</v>
      </c>
    </row>
    <row r="944" spans="1:16" x14ac:dyDescent="0.3">
      <c r="A944" t="s">
        <v>956</v>
      </c>
      <c r="B944" s="3">
        <v>45198</v>
      </c>
      <c r="C944" s="7" t="str">
        <f t="shared" si="28"/>
        <v>2023</v>
      </c>
      <c r="D944" s="7" t="str">
        <f t="shared" si="29"/>
        <v>Sept</v>
      </c>
      <c r="E944" s="6" t="s">
        <v>2151</v>
      </c>
      <c r="F944" s="5" t="s">
        <v>2405</v>
      </c>
      <c r="G944">
        <v>1</v>
      </c>
      <c r="H944">
        <v>479.76</v>
      </c>
      <c r="I944" s="6" t="s">
        <v>2599</v>
      </c>
      <c r="J944" s="6" t="s">
        <v>3067</v>
      </c>
      <c r="K944" s="6" t="s">
        <v>3074</v>
      </c>
      <c r="L944" t="s">
        <v>4017</v>
      </c>
      <c r="M944">
        <v>1</v>
      </c>
      <c r="N944" t="s">
        <v>4285</v>
      </c>
      <c r="O944" t="s">
        <v>4280</v>
      </c>
      <c r="P944">
        <v>479.76</v>
      </c>
    </row>
    <row r="945" spans="1:16" x14ac:dyDescent="0.3">
      <c r="A945" t="s">
        <v>957</v>
      </c>
      <c r="B945" s="3">
        <v>45287</v>
      </c>
      <c r="C945" s="7" t="str">
        <f t="shared" si="28"/>
        <v>2023</v>
      </c>
      <c r="D945" s="7" t="str">
        <f t="shared" si="29"/>
        <v>Dec</v>
      </c>
      <c r="E945" s="6" t="s">
        <v>2152</v>
      </c>
      <c r="F945" s="5" t="s">
        <v>2403</v>
      </c>
      <c r="G945">
        <v>3</v>
      </c>
      <c r="H945">
        <v>193.49</v>
      </c>
      <c r="I945" s="6" t="s">
        <v>2985</v>
      </c>
      <c r="J945" s="6" t="s">
        <v>3068</v>
      </c>
      <c r="K945" s="6" t="s">
        <v>3072</v>
      </c>
      <c r="L945" t="s">
        <v>4018</v>
      </c>
      <c r="M945">
        <v>6</v>
      </c>
      <c r="N945" t="s">
        <v>4276</v>
      </c>
      <c r="O945" t="s">
        <v>4281</v>
      </c>
      <c r="P945">
        <v>580.47</v>
      </c>
    </row>
    <row r="946" spans="1:16" x14ac:dyDescent="0.3">
      <c r="A946" t="s">
        <v>958</v>
      </c>
      <c r="B946" s="3">
        <v>45642</v>
      </c>
      <c r="C946" s="7" t="str">
        <f t="shared" si="28"/>
        <v>2024</v>
      </c>
      <c r="D946" s="7" t="str">
        <f t="shared" si="29"/>
        <v>Dec</v>
      </c>
      <c r="E946" s="6" t="s">
        <v>2153</v>
      </c>
      <c r="F946" s="5" t="s">
        <v>2408</v>
      </c>
      <c r="G946">
        <v>2</v>
      </c>
      <c r="H946">
        <v>426.22</v>
      </c>
      <c r="I946" s="6" t="s">
        <v>2964</v>
      </c>
      <c r="J946" s="6" t="s">
        <v>3066</v>
      </c>
      <c r="K946" s="6" t="s">
        <v>3073</v>
      </c>
      <c r="L946" t="s">
        <v>4019</v>
      </c>
      <c r="M946">
        <v>7</v>
      </c>
      <c r="N946" t="s">
        <v>4277</v>
      </c>
      <c r="O946" t="s">
        <v>4282</v>
      </c>
      <c r="P946">
        <v>852.44</v>
      </c>
    </row>
    <row r="947" spans="1:16" x14ac:dyDescent="0.3">
      <c r="A947" t="s">
        <v>959</v>
      </c>
      <c r="B947" s="3">
        <v>45158</v>
      </c>
      <c r="C947" s="7" t="str">
        <f t="shared" si="28"/>
        <v>2023</v>
      </c>
      <c r="D947" s="7" t="str">
        <f t="shared" si="29"/>
        <v>Aug</v>
      </c>
      <c r="E947" s="6" t="s">
        <v>2154</v>
      </c>
      <c r="F947" s="5" t="s">
        <v>2405</v>
      </c>
      <c r="G947">
        <v>5</v>
      </c>
      <c r="H947">
        <v>276.44</v>
      </c>
      <c r="I947" s="6" t="s">
        <v>2695</v>
      </c>
      <c r="J947" s="6" t="s">
        <v>3068</v>
      </c>
      <c r="K947" s="6" t="s">
        <v>3070</v>
      </c>
      <c r="L947" t="s">
        <v>4020</v>
      </c>
      <c r="M947">
        <v>10</v>
      </c>
      <c r="N947" t="s">
        <v>4276</v>
      </c>
      <c r="O947" t="s">
        <v>4279</v>
      </c>
      <c r="P947">
        <v>1382.2</v>
      </c>
    </row>
    <row r="948" spans="1:16" x14ac:dyDescent="0.3">
      <c r="A948" t="s">
        <v>960</v>
      </c>
      <c r="B948" s="3">
        <v>45416</v>
      </c>
      <c r="C948" s="7" t="str">
        <f t="shared" si="28"/>
        <v>2024</v>
      </c>
      <c r="D948" s="7" t="str">
        <f t="shared" si="29"/>
        <v>May</v>
      </c>
      <c r="E948" s="6" t="s">
        <v>2155</v>
      </c>
      <c r="F948" s="5" t="s">
        <v>2404</v>
      </c>
      <c r="G948">
        <v>2</v>
      </c>
      <c r="H948">
        <v>404.96</v>
      </c>
      <c r="I948" s="6" t="s">
        <v>2684</v>
      </c>
      <c r="J948" s="6" t="s">
        <v>3069</v>
      </c>
      <c r="K948" s="6" t="s">
        <v>3070</v>
      </c>
      <c r="L948" t="s">
        <v>4021</v>
      </c>
      <c r="M948">
        <v>4</v>
      </c>
      <c r="N948" t="s">
        <v>4275</v>
      </c>
      <c r="O948" t="s">
        <v>4280</v>
      </c>
      <c r="P948">
        <v>809.92</v>
      </c>
    </row>
    <row r="949" spans="1:16" x14ac:dyDescent="0.3">
      <c r="A949" t="s">
        <v>961</v>
      </c>
      <c r="B949" s="3">
        <v>45176</v>
      </c>
      <c r="C949" s="7" t="str">
        <f t="shared" si="28"/>
        <v>2023</v>
      </c>
      <c r="D949" s="7" t="str">
        <f t="shared" si="29"/>
        <v>Sept</v>
      </c>
      <c r="E949" s="6" t="s">
        <v>2156</v>
      </c>
      <c r="F949" s="5" t="s">
        <v>2404</v>
      </c>
      <c r="G949">
        <v>4</v>
      </c>
      <c r="H949">
        <v>465.66</v>
      </c>
      <c r="I949" s="6" t="s">
        <v>2642</v>
      </c>
      <c r="J949" s="6" t="s">
        <v>3066</v>
      </c>
      <c r="K949" s="6" t="s">
        <v>3072</v>
      </c>
      <c r="L949" t="s">
        <v>4022</v>
      </c>
      <c r="M949">
        <v>9</v>
      </c>
      <c r="N949" t="s">
        <v>4276</v>
      </c>
      <c r="O949" t="s">
        <v>4280</v>
      </c>
      <c r="P949">
        <v>1862.64</v>
      </c>
    </row>
    <row r="950" spans="1:16" x14ac:dyDescent="0.3">
      <c r="A950" t="s">
        <v>962</v>
      </c>
      <c r="B950" s="3">
        <v>45464</v>
      </c>
      <c r="C950" s="7" t="str">
        <f t="shared" si="28"/>
        <v>2024</v>
      </c>
      <c r="D950" s="7" t="str">
        <f t="shared" si="29"/>
        <v>Jun</v>
      </c>
      <c r="E950" s="6" t="s">
        <v>1659</v>
      </c>
      <c r="F950" s="5" t="s">
        <v>2404</v>
      </c>
      <c r="G950">
        <v>2</v>
      </c>
      <c r="H950">
        <v>594.07000000000005</v>
      </c>
      <c r="I950" s="6" t="s">
        <v>2771</v>
      </c>
      <c r="J950" s="6" t="s">
        <v>3068</v>
      </c>
      <c r="K950" s="6" t="s">
        <v>3071</v>
      </c>
      <c r="L950" t="s">
        <v>4023</v>
      </c>
      <c r="M950">
        <v>2</v>
      </c>
      <c r="N950" t="s">
        <v>4285</v>
      </c>
      <c r="O950" t="s">
        <v>4282</v>
      </c>
      <c r="P950">
        <v>1188.1400000000001</v>
      </c>
    </row>
    <row r="951" spans="1:16" x14ac:dyDescent="0.3">
      <c r="A951" t="s">
        <v>963</v>
      </c>
      <c r="B951" s="3">
        <v>45239</v>
      </c>
      <c r="C951" s="7" t="str">
        <f t="shared" si="28"/>
        <v>2023</v>
      </c>
      <c r="D951" s="7" t="str">
        <f t="shared" si="29"/>
        <v>Nov</v>
      </c>
      <c r="E951" s="6" t="s">
        <v>2157</v>
      </c>
      <c r="F951" s="5" t="s">
        <v>2409</v>
      </c>
      <c r="G951">
        <v>5</v>
      </c>
      <c r="H951">
        <v>110.38</v>
      </c>
      <c r="I951" s="6" t="s">
        <v>2732</v>
      </c>
      <c r="J951" s="6" t="s">
        <v>3069</v>
      </c>
      <c r="K951" s="6" t="s">
        <v>3074</v>
      </c>
      <c r="L951" t="s">
        <v>4024</v>
      </c>
      <c r="M951">
        <v>10</v>
      </c>
      <c r="N951" t="s">
        <v>4285</v>
      </c>
      <c r="O951" t="s">
        <v>4279</v>
      </c>
      <c r="P951">
        <v>551.9</v>
      </c>
    </row>
    <row r="952" spans="1:16" x14ac:dyDescent="0.3">
      <c r="A952" t="s">
        <v>964</v>
      </c>
      <c r="B952" s="3">
        <v>45443</v>
      </c>
      <c r="C952" s="7" t="str">
        <f t="shared" si="28"/>
        <v>2024</v>
      </c>
      <c r="D952" s="7" t="str">
        <f t="shared" si="29"/>
        <v>May</v>
      </c>
      <c r="E952" s="6" t="s">
        <v>2158</v>
      </c>
      <c r="F952" s="5" t="s">
        <v>2408</v>
      </c>
      <c r="G952">
        <v>1</v>
      </c>
      <c r="H952">
        <v>596.24</v>
      </c>
      <c r="I952" s="6" t="s">
        <v>2428</v>
      </c>
      <c r="J952" s="6" t="s">
        <v>3067</v>
      </c>
      <c r="K952" s="6" t="s">
        <v>3072</v>
      </c>
      <c r="L952" t="s">
        <v>4025</v>
      </c>
      <c r="M952">
        <v>4</v>
      </c>
      <c r="N952" t="s">
        <v>4276</v>
      </c>
      <c r="O952" t="s">
        <v>4278</v>
      </c>
      <c r="P952">
        <v>596.24</v>
      </c>
    </row>
    <row r="953" spans="1:16" x14ac:dyDescent="0.3">
      <c r="A953" t="s">
        <v>965</v>
      </c>
      <c r="B953" s="3">
        <v>45495</v>
      </c>
      <c r="C953" s="7" t="str">
        <f t="shared" si="28"/>
        <v>2024</v>
      </c>
      <c r="D953" s="7" t="str">
        <f t="shared" si="29"/>
        <v>Jul</v>
      </c>
      <c r="E953" s="6" t="s">
        <v>2159</v>
      </c>
      <c r="F953" s="5" t="s">
        <v>2407</v>
      </c>
      <c r="G953">
        <v>2</v>
      </c>
      <c r="H953">
        <v>306.24</v>
      </c>
      <c r="I953" s="6" t="s">
        <v>2637</v>
      </c>
      <c r="J953" s="6" t="s">
        <v>3066</v>
      </c>
      <c r="K953" s="6" t="s">
        <v>3072</v>
      </c>
      <c r="L953" t="s">
        <v>4026</v>
      </c>
      <c r="M953">
        <v>4</v>
      </c>
      <c r="N953" t="s">
        <v>4276</v>
      </c>
      <c r="O953" t="s">
        <v>4280</v>
      </c>
      <c r="P953">
        <v>612.48</v>
      </c>
    </row>
    <row r="954" spans="1:16" x14ac:dyDescent="0.3">
      <c r="A954" t="s">
        <v>966</v>
      </c>
      <c r="B954" s="3">
        <v>45715</v>
      </c>
      <c r="C954" s="7" t="str">
        <f t="shared" si="28"/>
        <v>2025</v>
      </c>
      <c r="D954" s="7" t="str">
        <f t="shared" si="29"/>
        <v>Feb</v>
      </c>
      <c r="E954" s="6" t="s">
        <v>2160</v>
      </c>
      <c r="F954" s="5" t="s">
        <v>2403</v>
      </c>
      <c r="G954">
        <v>3</v>
      </c>
      <c r="H954">
        <v>503.39</v>
      </c>
      <c r="I954" s="6" t="s">
        <v>2986</v>
      </c>
      <c r="J954" s="6" t="s">
        <v>3066</v>
      </c>
      <c r="K954" s="6" t="s">
        <v>3074</v>
      </c>
      <c r="L954" t="s">
        <v>4027</v>
      </c>
      <c r="M954">
        <v>5</v>
      </c>
      <c r="N954" t="s">
        <v>4285</v>
      </c>
      <c r="O954" t="s">
        <v>4281</v>
      </c>
      <c r="P954">
        <v>1510.17</v>
      </c>
    </row>
    <row r="955" spans="1:16" x14ac:dyDescent="0.3">
      <c r="A955" t="s">
        <v>967</v>
      </c>
      <c r="B955" s="3">
        <v>44963</v>
      </c>
      <c r="C955" s="7" t="str">
        <f t="shared" si="28"/>
        <v>2023</v>
      </c>
      <c r="D955" s="7" t="str">
        <f t="shared" si="29"/>
        <v>Feb</v>
      </c>
      <c r="E955" s="6" t="s">
        <v>2161</v>
      </c>
      <c r="F955" s="5" t="s">
        <v>2404</v>
      </c>
      <c r="G955">
        <v>1</v>
      </c>
      <c r="H955">
        <v>131.61000000000001</v>
      </c>
      <c r="I955" s="6" t="s">
        <v>2486</v>
      </c>
      <c r="J955" s="6" t="s">
        <v>3069</v>
      </c>
      <c r="K955" s="6" t="s">
        <v>3070</v>
      </c>
      <c r="L955" t="s">
        <v>4028</v>
      </c>
      <c r="M955">
        <v>2</v>
      </c>
      <c r="N955" t="s">
        <v>4276</v>
      </c>
      <c r="O955" t="s">
        <v>4281</v>
      </c>
      <c r="P955">
        <v>131.61000000000001</v>
      </c>
    </row>
    <row r="956" spans="1:16" x14ac:dyDescent="0.3">
      <c r="A956" t="s">
        <v>968</v>
      </c>
      <c r="B956" s="3">
        <v>45587</v>
      </c>
      <c r="C956" s="7" t="str">
        <f t="shared" si="28"/>
        <v>2024</v>
      </c>
      <c r="D956" s="7" t="str">
        <f t="shared" si="29"/>
        <v>Oct</v>
      </c>
      <c r="E956" s="6" t="s">
        <v>2162</v>
      </c>
      <c r="F956" s="5" t="s">
        <v>2406</v>
      </c>
      <c r="G956">
        <v>3</v>
      </c>
      <c r="H956">
        <v>443.44</v>
      </c>
      <c r="I956" s="6" t="s">
        <v>2556</v>
      </c>
      <c r="J956" s="6" t="s">
        <v>3068</v>
      </c>
      <c r="K956" s="6" t="s">
        <v>3070</v>
      </c>
      <c r="L956" t="s">
        <v>4029</v>
      </c>
      <c r="M956">
        <v>3</v>
      </c>
      <c r="N956" t="s">
        <v>4276</v>
      </c>
      <c r="O956" t="s">
        <v>4282</v>
      </c>
      <c r="P956">
        <v>1330.32</v>
      </c>
    </row>
    <row r="957" spans="1:16" x14ac:dyDescent="0.3">
      <c r="A957" t="s">
        <v>969</v>
      </c>
      <c r="B957" s="3">
        <v>44949</v>
      </c>
      <c r="C957" s="7" t="str">
        <f t="shared" si="28"/>
        <v>2023</v>
      </c>
      <c r="D957" s="7" t="str">
        <f t="shared" si="29"/>
        <v>Jan</v>
      </c>
      <c r="E957" s="6" t="s">
        <v>2163</v>
      </c>
      <c r="F957" s="5" t="s">
        <v>2406</v>
      </c>
      <c r="G957">
        <v>1</v>
      </c>
      <c r="H957">
        <v>408.13</v>
      </c>
      <c r="I957" s="6" t="s">
        <v>2623</v>
      </c>
      <c r="J957" s="6" t="s">
        <v>3068</v>
      </c>
      <c r="K957" s="6" t="s">
        <v>3070</v>
      </c>
      <c r="L957" t="s">
        <v>4030</v>
      </c>
      <c r="M957">
        <v>3</v>
      </c>
      <c r="N957" t="s">
        <v>4277</v>
      </c>
      <c r="O957" t="s">
        <v>4278</v>
      </c>
      <c r="P957">
        <v>408.13</v>
      </c>
    </row>
    <row r="958" spans="1:16" x14ac:dyDescent="0.3">
      <c r="A958" t="s">
        <v>970</v>
      </c>
      <c r="B958" s="3">
        <v>45393</v>
      </c>
      <c r="C958" s="7" t="str">
        <f t="shared" si="28"/>
        <v>2024</v>
      </c>
      <c r="D958" s="7" t="str">
        <f t="shared" si="29"/>
        <v>Apr</v>
      </c>
      <c r="E958" s="6" t="s">
        <v>1995</v>
      </c>
      <c r="F958" s="5" t="s">
        <v>2404</v>
      </c>
      <c r="G958">
        <v>2</v>
      </c>
      <c r="H958">
        <v>160.97999999999999</v>
      </c>
      <c r="I958" s="6" t="s">
        <v>2987</v>
      </c>
      <c r="J958" s="6" t="s">
        <v>3065</v>
      </c>
      <c r="K958" s="6" t="s">
        <v>3073</v>
      </c>
      <c r="L958" t="s">
        <v>4031</v>
      </c>
      <c r="M958">
        <v>3</v>
      </c>
      <c r="N958" t="s">
        <v>4275</v>
      </c>
      <c r="O958" t="s">
        <v>4279</v>
      </c>
      <c r="P958">
        <v>321.95999999999998</v>
      </c>
    </row>
    <row r="959" spans="1:16" x14ac:dyDescent="0.3">
      <c r="A959" t="s">
        <v>971</v>
      </c>
      <c r="B959" s="3">
        <v>44938</v>
      </c>
      <c r="C959" s="7" t="str">
        <f t="shared" si="28"/>
        <v>2023</v>
      </c>
      <c r="D959" s="7" t="str">
        <f t="shared" si="29"/>
        <v>Jan</v>
      </c>
      <c r="E959" s="6" t="s">
        <v>2164</v>
      </c>
      <c r="F959" s="5" t="s">
        <v>2403</v>
      </c>
      <c r="G959">
        <v>5</v>
      </c>
      <c r="H959">
        <v>643.89</v>
      </c>
      <c r="I959" s="6" t="s">
        <v>2988</v>
      </c>
      <c r="J959" s="6" t="s">
        <v>3069</v>
      </c>
      <c r="K959" s="6" t="s">
        <v>3072</v>
      </c>
      <c r="L959" t="s">
        <v>4032</v>
      </c>
      <c r="M959">
        <v>8</v>
      </c>
      <c r="N959" t="s">
        <v>4277</v>
      </c>
      <c r="O959" t="s">
        <v>4281</v>
      </c>
      <c r="P959">
        <v>3219.45</v>
      </c>
    </row>
    <row r="960" spans="1:16" x14ac:dyDescent="0.3">
      <c r="A960" t="s">
        <v>972</v>
      </c>
      <c r="B960" s="3">
        <v>45059</v>
      </c>
      <c r="C960" s="7" t="str">
        <f t="shared" si="28"/>
        <v>2023</v>
      </c>
      <c r="D960" s="7" t="str">
        <f t="shared" si="29"/>
        <v>May</v>
      </c>
      <c r="E960" s="6" t="s">
        <v>2165</v>
      </c>
      <c r="F960" s="5" t="s">
        <v>2409</v>
      </c>
      <c r="G960">
        <v>3</v>
      </c>
      <c r="H960">
        <v>158.66</v>
      </c>
      <c r="I960" s="6" t="s">
        <v>2656</v>
      </c>
      <c r="J960" s="6" t="s">
        <v>3068</v>
      </c>
      <c r="K960" s="6" t="s">
        <v>3073</v>
      </c>
      <c r="L960" t="s">
        <v>4033</v>
      </c>
      <c r="M960">
        <v>7</v>
      </c>
      <c r="N960" t="s">
        <v>4277</v>
      </c>
      <c r="O960" t="s">
        <v>4280</v>
      </c>
      <c r="P960">
        <v>475.98</v>
      </c>
    </row>
    <row r="961" spans="1:16" x14ac:dyDescent="0.3">
      <c r="A961" t="s">
        <v>973</v>
      </c>
      <c r="B961" s="3">
        <v>45395</v>
      </c>
      <c r="C961" s="7" t="str">
        <f t="shared" si="28"/>
        <v>2024</v>
      </c>
      <c r="D961" s="7" t="str">
        <f t="shared" si="29"/>
        <v>Apr</v>
      </c>
      <c r="E961" s="6" t="s">
        <v>2166</v>
      </c>
      <c r="F961" s="5" t="s">
        <v>2405</v>
      </c>
      <c r="G961">
        <v>2</v>
      </c>
      <c r="H961">
        <v>143.82</v>
      </c>
      <c r="I961" s="6" t="s">
        <v>2662</v>
      </c>
      <c r="J961" s="6" t="s">
        <v>3067</v>
      </c>
      <c r="K961" s="6" t="s">
        <v>3072</v>
      </c>
      <c r="L961" t="s">
        <v>4034</v>
      </c>
      <c r="M961">
        <v>6</v>
      </c>
      <c r="N961" t="s">
        <v>4275</v>
      </c>
      <c r="O961" t="s">
        <v>4278</v>
      </c>
      <c r="P961">
        <v>287.64</v>
      </c>
    </row>
    <row r="962" spans="1:16" x14ac:dyDescent="0.3">
      <c r="A962" t="s">
        <v>974</v>
      </c>
      <c r="B962" s="3">
        <v>45271</v>
      </c>
      <c r="C962" s="7" t="str">
        <f t="shared" ref="C962:C1025" si="30">TEXT(B962, "yyyy")</f>
        <v>2023</v>
      </c>
      <c r="D962" s="7" t="str">
        <f t="shared" ref="D962:D1025" si="31">TEXT(B962, "MMM")</f>
        <v>Dec</v>
      </c>
      <c r="E962" s="6" t="s">
        <v>2167</v>
      </c>
      <c r="F962" s="5" t="s">
        <v>2408</v>
      </c>
      <c r="G962">
        <v>3</v>
      </c>
      <c r="H962">
        <v>379.07</v>
      </c>
      <c r="I962" s="6" t="s">
        <v>2714</v>
      </c>
      <c r="J962" s="6" t="s">
        <v>3068</v>
      </c>
      <c r="K962" s="6" t="s">
        <v>3074</v>
      </c>
      <c r="L962" t="s">
        <v>4035</v>
      </c>
      <c r="M962">
        <v>3</v>
      </c>
      <c r="N962" t="s">
        <v>4277</v>
      </c>
      <c r="O962" t="s">
        <v>4282</v>
      </c>
      <c r="P962">
        <v>1137.21</v>
      </c>
    </row>
    <row r="963" spans="1:16" x14ac:dyDescent="0.3">
      <c r="A963" t="s">
        <v>975</v>
      </c>
      <c r="B963" s="3">
        <v>45607</v>
      </c>
      <c r="C963" s="7" t="str">
        <f t="shared" si="30"/>
        <v>2024</v>
      </c>
      <c r="D963" s="7" t="str">
        <f t="shared" si="31"/>
        <v>Nov</v>
      </c>
      <c r="E963" s="6" t="s">
        <v>2168</v>
      </c>
      <c r="F963" s="5" t="s">
        <v>2404</v>
      </c>
      <c r="G963">
        <v>1</v>
      </c>
      <c r="H963">
        <v>601.36</v>
      </c>
      <c r="I963" s="6" t="s">
        <v>2685</v>
      </c>
      <c r="J963" s="6" t="s">
        <v>3066</v>
      </c>
      <c r="K963" s="6" t="s">
        <v>3070</v>
      </c>
      <c r="L963" t="s">
        <v>4036</v>
      </c>
      <c r="M963">
        <v>1</v>
      </c>
      <c r="N963" t="s">
        <v>4285</v>
      </c>
      <c r="O963" t="s">
        <v>4281</v>
      </c>
      <c r="P963">
        <v>601.36</v>
      </c>
    </row>
    <row r="964" spans="1:16" x14ac:dyDescent="0.3">
      <c r="A964" t="s">
        <v>976</v>
      </c>
      <c r="B964" s="3">
        <v>45541</v>
      </c>
      <c r="C964" s="7" t="str">
        <f t="shared" si="30"/>
        <v>2024</v>
      </c>
      <c r="D964" s="7" t="str">
        <f t="shared" si="31"/>
        <v>Sept</v>
      </c>
      <c r="E964" s="6" t="s">
        <v>2169</v>
      </c>
      <c r="F964" s="5" t="s">
        <v>2404</v>
      </c>
      <c r="G964">
        <v>2</v>
      </c>
      <c r="H964">
        <v>142.08000000000001</v>
      </c>
      <c r="I964" s="6" t="s">
        <v>2621</v>
      </c>
      <c r="J964" s="6" t="s">
        <v>3068</v>
      </c>
      <c r="K964" s="6" t="s">
        <v>3073</v>
      </c>
      <c r="L964" t="s">
        <v>4037</v>
      </c>
      <c r="M964">
        <v>4</v>
      </c>
      <c r="N964" t="s">
        <v>4275</v>
      </c>
      <c r="O964" t="s">
        <v>4279</v>
      </c>
      <c r="P964">
        <v>284.16000000000003</v>
      </c>
    </row>
    <row r="965" spans="1:16" x14ac:dyDescent="0.3">
      <c r="A965" t="s">
        <v>977</v>
      </c>
      <c r="B965" s="3">
        <v>45362</v>
      </c>
      <c r="C965" s="7" t="str">
        <f t="shared" si="30"/>
        <v>2024</v>
      </c>
      <c r="D965" s="7" t="str">
        <f t="shared" si="31"/>
        <v>Mar</v>
      </c>
      <c r="E965" s="6" t="s">
        <v>2170</v>
      </c>
      <c r="F965" s="5" t="s">
        <v>2406</v>
      </c>
      <c r="G965">
        <v>5</v>
      </c>
      <c r="H965">
        <v>530.34</v>
      </c>
      <c r="I965" s="6" t="s">
        <v>2572</v>
      </c>
      <c r="J965" s="6" t="s">
        <v>3066</v>
      </c>
      <c r="K965" s="6" t="s">
        <v>3070</v>
      </c>
      <c r="L965" t="s">
        <v>4038</v>
      </c>
      <c r="M965">
        <v>9</v>
      </c>
      <c r="N965" t="s">
        <v>4276</v>
      </c>
      <c r="O965" t="s">
        <v>4282</v>
      </c>
      <c r="P965">
        <v>2651.7</v>
      </c>
    </row>
    <row r="966" spans="1:16" x14ac:dyDescent="0.3">
      <c r="A966" t="s">
        <v>978</v>
      </c>
      <c r="B966" s="3">
        <v>45158</v>
      </c>
      <c r="C966" s="7" t="str">
        <f t="shared" si="30"/>
        <v>2023</v>
      </c>
      <c r="D966" s="7" t="str">
        <f t="shared" si="31"/>
        <v>Aug</v>
      </c>
      <c r="E966" s="6" t="s">
        <v>2171</v>
      </c>
      <c r="F966" s="5" t="s">
        <v>2404</v>
      </c>
      <c r="G966">
        <v>5</v>
      </c>
      <c r="H966">
        <v>364.42</v>
      </c>
      <c r="I966" s="6" t="s">
        <v>2730</v>
      </c>
      <c r="J966" s="6" t="s">
        <v>3067</v>
      </c>
      <c r="K966" s="6" t="s">
        <v>3071</v>
      </c>
      <c r="L966" t="s">
        <v>4039</v>
      </c>
      <c r="M966">
        <v>10</v>
      </c>
      <c r="N966" t="s">
        <v>4275</v>
      </c>
      <c r="O966" t="s">
        <v>4279</v>
      </c>
      <c r="P966">
        <v>1822.1</v>
      </c>
    </row>
    <row r="967" spans="1:16" x14ac:dyDescent="0.3">
      <c r="A967" t="s">
        <v>979</v>
      </c>
      <c r="B967" s="3">
        <v>45826</v>
      </c>
      <c r="C967" s="7" t="str">
        <f t="shared" si="30"/>
        <v>2025</v>
      </c>
      <c r="D967" s="7" t="str">
        <f t="shared" si="31"/>
        <v>Jun</v>
      </c>
      <c r="E967" s="6" t="s">
        <v>2172</v>
      </c>
      <c r="F967" s="5" t="s">
        <v>2408</v>
      </c>
      <c r="G967">
        <v>4</v>
      </c>
      <c r="H967">
        <v>578.28</v>
      </c>
      <c r="I967" s="6" t="s">
        <v>2641</v>
      </c>
      <c r="J967" s="6" t="s">
        <v>3068</v>
      </c>
      <c r="K967" s="6" t="s">
        <v>3071</v>
      </c>
      <c r="L967" t="s">
        <v>4040</v>
      </c>
      <c r="M967">
        <v>5</v>
      </c>
      <c r="N967" t="s">
        <v>4276</v>
      </c>
      <c r="O967" t="s">
        <v>4280</v>
      </c>
      <c r="P967">
        <v>2313.12</v>
      </c>
    </row>
    <row r="968" spans="1:16" x14ac:dyDescent="0.3">
      <c r="A968" t="s">
        <v>980</v>
      </c>
      <c r="B968" s="3">
        <v>45797</v>
      </c>
      <c r="C968" s="7" t="str">
        <f t="shared" si="30"/>
        <v>2025</v>
      </c>
      <c r="D968" s="7" t="str">
        <f t="shared" si="31"/>
        <v>May</v>
      </c>
      <c r="E968" s="6" t="s">
        <v>2173</v>
      </c>
      <c r="F968" s="5" t="s">
        <v>2403</v>
      </c>
      <c r="G968">
        <v>5</v>
      </c>
      <c r="H968">
        <v>280.52</v>
      </c>
      <c r="I968" s="6" t="s">
        <v>2989</v>
      </c>
      <c r="J968" s="6" t="s">
        <v>3067</v>
      </c>
      <c r="K968" s="6" t="s">
        <v>3071</v>
      </c>
      <c r="L968" t="s">
        <v>4041</v>
      </c>
      <c r="M968">
        <v>7</v>
      </c>
      <c r="N968" t="s">
        <v>4277</v>
      </c>
      <c r="O968" t="s">
        <v>4281</v>
      </c>
      <c r="P968">
        <v>1402.6</v>
      </c>
    </row>
    <row r="969" spans="1:16" x14ac:dyDescent="0.3">
      <c r="A969" t="s">
        <v>981</v>
      </c>
      <c r="B969" s="3">
        <v>45783</v>
      </c>
      <c r="C969" s="7" t="str">
        <f t="shared" si="30"/>
        <v>2025</v>
      </c>
      <c r="D969" s="7" t="str">
        <f t="shared" si="31"/>
        <v>May</v>
      </c>
      <c r="E969" s="6" t="s">
        <v>2174</v>
      </c>
      <c r="F969" s="5" t="s">
        <v>2405</v>
      </c>
      <c r="G969">
        <v>5</v>
      </c>
      <c r="H969">
        <v>638.91999999999996</v>
      </c>
      <c r="I969" s="6" t="s">
        <v>2990</v>
      </c>
      <c r="J969" s="6" t="s">
        <v>3067</v>
      </c>
      <c r="K969" s="6" t="s">
        <v>3072</v>
      </c>
      <c r="L969" t="s">
        <v>4042</v>
      </c>
      <c r="M969">
        <v>5</v>
      </c>
      <c r="N969" t="s">
        <v>4276</v>
      </c>
      <c r="O969" t="s">
        <v>4282</v>
      </c>
      <c r="P969">
        <v>3194.6</v>
      </c>
    </row>
    <row r="970" spans="1:16" x14ac:dyDescent="0.3">
      <c r="A970" t="s">
        <v>982</v>
      </c>
      <c r="B970" s="3">
        <v>45330</v>
      </c>
      <c r="C970" s="7" t="str">
        <f t="shared" si="30"/>
        <v>2024</v>
      </c>
      <c r="D970" s="7" t="str">
        <f t="shared" si="31"/>
        <v>Feb</v>
      </c>
      <c r="E970" s="6" t="s">
        <v>2175</v>
      </c>
      <c r="F970" s="5" t="s">
        <v>2403</v>
      </c>
      <c r="G970">
        <v>4</v>
      </c>
      <c r="H970">
        <v>412.2</v>
      </c>
      <c r="I970" s="6" t="s">
        <v>2943</v>
      </c>
      <c r="J970" s="6" t="s">
        <v>3067</v>
      </c>
      <c r="K970" s="6" t="s">
        <v>3070</v>
      </c>
      <c r="L970" t="s">
        <v>4043</v>
      </c>
      <c r="M970">
        <v>6</v>
      </c>
      <c r="N970" t="s">
        <v>4277</v>
      </c>
      <c r="O970" t="s">
        <v>4279</v>
      </c>
      <c r="P970">
        <v>1648.8</v>
      </c>
    </row>
    <row r="971" spans="1:16" x14ac:dyDescent="0.3">
      <c r="A971" t="s">
        <v>983</v>
      </c>
      <c r="B971" s="3">
        <v>45813</v>
      </c>
      <c r="C971" s="7" t="str">
        <f t="shared" si="30"/>
        <v>2025</v>
      </c>
      <c r="D971" s="7" t="str">
        <f t="shared" si="31"/>
        <v>Jun</v>
      </c>
      <c r="E971" s="6" t="s">
        <v>2176</v>
      </c>
      <c r="F971" s="5" t="s">
        <v>2409</v>
      </c>
      <c r="G971">
        <v>1</v>
      </c>
      <c r="H971">
        <v>440.34</v>
      </c>
      <c r="I971" s="6" t="s">
        <v>2991</v>
      </c>
      <c r="J971" s="6" t="s">
        <v>3068</v>
      </c>
      <c r="K971" s="6" t="s">
        <v>3070</v>
      </c>
      <c r="L971" t="s">
        <v>4044</v>
      </c>
      <c r="M971">
        <v>2</v>
      </c>
      <c r="N971" t="s">
        <v>4277</v>
      </c>
      <c r="O971" t="s">
        <v>4281</v>
      </c>
      <c r="P971">
        <v>440.34</v>
      </c>
    </row>
    <row r="972" spans="1:16" x14ac:dyDescent="0.3">
      <c r="A972" t="s">
        <v>984</v>
      </c>
      <c r="B972" s="3">
        <v>45542</v>
      </c>
      <c r="C972" s="7" t="str">
        <f t="shared" si="30"/>
        <v>2024</v>
      </c>
      <c r="D972" s="7" t="str">
        <f t="shared" si="31"/>
        <v>Sept</v>
      </c>
      <c r="E972" s="6" t="s">
        <v>2177</v>
      </c>
      <c r="F972" s="5" t="s">
        <v>2409</v>
      </c>
      <c r="G972">
        <v>1</v>
      </c>
      <c r="H972">
        <v>627.15</v>
      </c>
      <c r="I972" s="6" t="s">
        <v>2992</v>
      </c>
      <c r="J972" s="6" t="s">
        <v>3069</v>
      </c>
      <c r="K972" s="6" t="s">
        <v>3073</v>
      </c>
      <c r="L972" t="s">
        <v>4045</v>
      </c>
      <c r="M972">
        <v>5</v>
      </c>
      <c r="N972" t="s">
        <v>4275</v>
      </c>
      <c r="O972" t="s">
        <v>4278</v>
      </c>
      <c r="P972">
        <v>627.15</v>
      </c>
    </row>
    <row r="973" spans="1:16" x14ac:dyDescent="0.3">
      <c r="A973" t="s">
        <v>985</v>
      </c>
      <c r="B973" s="3">
        <v>45439</v>
      </c>
      <c r="C973" s="7" t="str">
        <f t="shared" si="30"/>
        <v>2024</v>
      </c>
      <c r="D973" s="7" t="str">
        <f t="shared" si="31"/>
        <v>May</v>
      </c>
      <c r="E973" s="6" t="s">
        <v>2178</v>
      </c>
      <c r="F973" s="5" t="s">
        <v>2403</v>
      </c>
      <c r="G973">
        <v>2</v>
      </c>
      <c r="H973">
        <v>605.26</v>
      </c>
      <c r="I973" s="6" t="s">
        <v>2415</v>
      </c>
      <c r="J973" s="6" t="s">
        <v>3069</v>
      </c>
      <c r="K973" s="6" t="s">
        <v>3071</v>
      </c>
      <c r="L973" t="s">
        <v>4046</v>
      </c>
      <c r="M973">
        <v>4</v>
      </c>
      <c r="N973" t="s">
        <v>4277</v>
      </c>
      <c r="O973" t="s">
        <v>4279</v>
      </c>
      <c r="P973">
        <v>1210.52</v>
      </c>
    </row>
    <row r="974" spans="1:16" x14ac:dyDescent="0.3">
      <c r="A974" t="s">
        <v>986</v>
      </c>
      <c r="B974" s="3">
        <v>45452</v>
      </c>
      <c r="C974" s="7" t="str">
        <f t="shared" si="30"/>
        <v>2024</v>
      </c>
      <c r="D974" s="7" t="str">
        <f t="shared" si="31"/>
        <v>Jun</v>
      </c>
      <c r="E974" s="6" t="s">
        <v>2179</v>
      </c>
      <c r="F974" s="5" t="s">
        <v>2408</v>
      </c>
      <c r="G974">
        <v>1</v>
      </c>
      <c r="H974">
        <v>90.27</v>
      </c>
      <c r="I974" s="6" t="s">
        <v>2993</v>
      </c>
      <c r="J974" s="6" t="s">
        <v>3069</v>
      </c>
      <c r="K974" s="6" t="s">
        <v>3073</v>
      </c>
      <c r="L974" t="s">
        <v>4047</v>
      </c>
      <c r="M974">
        <v>5</v>
      </c>
      <c r="N974" t="s">
        <v>4275</v>
      </c>
      <c r="O974" t="s">
        <v>4281</v>
      </c>
      <c r="P974">
        <v>90.27</v>
      </c>
    </row>
    <row r="975" spans="1:16" x14ac:dyDescent="0.3">
      <c r="A975" t="s">
        <v>987</v>
      </c>
      <c r="B975" s="3">
        <v>45817</v>
      </c>
      <c r="C975" s="7" t="str">
        <f t="shared" si="30"/>
        <v>2025</v>
      </c>
      <c r="D975" s="7" t="str">
        <f t="shared" si="31"/>
        <v>Jun</v>
      </c>
      <c r="E975" s="6" t="s">
        <v>2180</v>
      </c>
      <c r="F975" s="5" t="s">
        <v>2409</v>
      </c>
      <c r="G975">
        <v>5</v>
      </c>
      <c r="H975">
        <v>230.77</v>
      </c>
      <c r="I975" s="6" t="s">
        <v>2977</v>
      </c>
      <c r="J975" s="6" t="s">
        <v>3066</v>
      </c>
      <c r="K975" s="6" t="s">
        <v>3074</v>
      </c>
      <c r="L975" t="s">
        <v>4048</v>
      </c>
      <c r="M975">
        <v>10</v>
      </c>
      <c r="N975" t="s">
        <v>4277</v>
      </c>
      <c r="O975" t="s">
        <v>4279</v>
      </c>
      <c r="P975">
        <v>1153.8499999999999</v>
      </c>
    </row>
    <row r="976" spans="1:16" x14ac:dyDescent="0.3">
      <c r="A976" t="s">
        <v>988</v>
      </c>
      <c r="B976" s="3">
        <v>45196</v>
      </c>
      <c r="C976" s="7" t="str">
        <f t="shared" si="30"/>
        <v>2023</v>
      </c>
      <c r="D976" s="7" t="str">
        <f t="shared" si="31"/>
        <v>Sept</v>
      </c>
      <c r="E976" s="6" t="s">
        <v>2181</v>
      </c>
      <c r="F976" s="5" t="s">
        <v>2409</v>
      </c>
      <c r="G976">
        <v>5</v>
      </c>
      <c r="H976">
        <v>266.77999999999997</v>
      </c>
      <c r="I976" s="6" t="s">
        <v>2673</v>
      </c>
      <c r="J976" s="6" t="s">
        <v>3068</v>
      </c>
      <c r="K976" s="6" t="s">
        <v>3071</v>
      </c>
      <c r="L976" t="s">
        <v>4049</v>
      </c>
      <c r="M976">
        <v>5</v>
      </c>
      <c r="N976" t="s">
        <v>4285</v>
      </c>
      <c r="O976" t="s">
        <v>4280</v>
      </c>
      <c r="P976">
        <v>1333.9</v>
      </c>
    </row>
    <row r="977" spans="1:16" x14ac:dyDescent="0.3">
      <c r="A977" t="s">
        <v>989</v>
      </c>
      <c r="B977" s="3">
        <v>45064</v>
      </c>
      <c r="C977" s="7" t="str">
        <f t="shared" si="30"/>
        <v>2023</v>
      </c>
      <c r="D977" s="7" t="str">
        <f t="shared" si="31"/>
        <v>May</v>
      </c>
      <c r="E977" s="6" t="s">
        <v>2182</v>
      </c>
      <c r="F977" s="5" t="s">
        <v>2409</v>
      </c>
      <c r="G977">
        <v>1</v>
      </c>
      <c r="H977">
        <v>105.92</v>
      </c>
      <c r="I977" s="6" t="s">
        <v>2643</v>
      </c>
      <c r="J977" s="6" t="s">
        <v>3068</v>
      </c>
      <c r="K977" s="6" t="s">
        <v>3072</v>
      </c>
      <c r="L977" t="s">
        <v>4050</v>
      </c>
      <c r="M977">
        <v>6</v>
      </c>
      <c r="N977" t="s">
        <v>4275</v>
      </c>
      <c r="O977" t="s">
        <v>4280</v>
      </c>
      <c r="P977">
        <v>105.92</v>
      </c>
    </row>
    <row r="978" spans="1:16" x14ac:dyDescent="0.3">
      <c r="A978" t="s">
        <v>990</v>
      </c>
      <c r="B978" s="3">
        <v>45386</v>
      </c>
      <c r="C978" s="7" t="str">
        <f t="shared" si="30"/>
        <v>2024</v>
      </c>
      <c r="D978" s="7" t="str">
        <f t="shared" si="31"/>
        <v>Apr</v>
      </c>
      <c r="E978" s="6" t="s">
        <v>2183</v>
      </c>
      <c r="F978" s="5" t="s">
        <v>2405</v>
      </c>
      <c r="G978">
        <v>3</v>
      </c>
      <c r="H978">
        <v>589.29999999999995</v>
      </c>
      <c r="I978" s="6" t="s">
        <v>2941</v>
      </c>
      <c r="J978" s="6" t="s">
        <v>3067</v>
      </c>
      <c r="K978" s="6" t="s">
        <v>3072</v>
      </c>
      <c r="L978" t="s">
        <v>4051</v>
      </c>
      <c r="M978">
        <v>6</v>
      </c>
      <c r="N978" t="s">
        <v>4277</v>
      </c>
      <c r="O978" t="s">
        <v>4279</v>
      </c>
      <c r="P978">
        <v>1767.9</v>
      </c>
    </row>
    <row r="979" spans="1:16" x14ac:dyDescent="0.3">
      <c r="A979" t="s">
        <v>991</v>
      </c>
      <c r="B979" s="3">
        <v>44954</v>
      </c>
      <c r="C979" s="7" t="str">
        <f t="shared" si="30"/>
        <v>2023</v>
      </c>
      <c r="D979" s="7" t="str">
        <f t="shared" si="31"/>
        <v>Jan</v>
      </c>
      <c r="E979" s="6" t="s">
        <v>2184</v>
      </c>
      <c r="F979" s="5" t="s">
        <v>2406</v>
      </c>
      <c r="G979">
        <v>4</v>
      </c>
      <c r="H979">
        <v>649.47</v>
      </c>
      <c r="I979" s="6" t="s">
        <v>2994</v>
      </c>
      <c r="J979" s="6" t="s">
        <v>3069</v>
      </c>
      <c r="K979" s="6" t="s">
        <v>3074</v>
      </c>
      <c r="L979" t="s">
        <v>4052</v>
      </c>
      <c r="M979">
        <v>8</v>
      </c>
      <c r="N979" t="s">
        <v>4275</v>
      </c>
      <c r="O979" t="s">
        <v>4282</v>
      </c>
      <c r="P979">
        <v>2597.88</v>
      </c>
    </row>
    <row r="980" spans="1:16" x14ac:dyDescent="0.3">
      <c r="A980" t="s">
        <v>992</v>
      </c>
      <c r="B980" s="3">
        <v>45468</v>
      </c>
      <c r="C980" s="7" t="str">
        <f t="shared" si="30"/>
        <v>2024</v>
      </c>
      <c r="D980" s="7" t="str">
        <f t="shared" si="31"/>
        <v>Jun</v>
      </c>
      <c r="E980" s="6" t="s">
        <v>2185</v>
      </c>
      <c r="F980" s="5" t="s">
        <v>2407</v>
      </c>
      <c r="G980">
        <v>4</v>
      </c>
      <c r="H980">
        <v>107.49</v>
      </c>
      <c r="I980" s="6" t="s">
        <v>2887</v>
      </c>
      <c r="J980" s="6" t="s">
        <v>3069</v>
      </c>
      <c r="K980" s="6" t="s">
        <v>3073</v>
      </c>
      <c r="L980" t="s">
        <v>4053</v>
      </c>
      <c r="M980">
        <v>5</v>
      </c>
      <c r="N980" t="s">
        <v>4285</v>
      </c>
      <c r="O980" t="s">
        <v>4282</v>
      </c>
      <c r="P980">
        <v>429.96</v>
      </c>
    </row>
    <row r="981" spans="1:16" x14ac:dyDescent="0.3">
      <c r="A981" t="s">
        <v>993</v>
      </c>
      <c r="B981" s="3">
        <v>45077</v>
      </c>
      <c r="C981" s="7" t="str">
        <f t="shared" si="30"/>
        <v>2023</v>
      </c>
      <c r="D981" s="7" t="str">
        <f t="shared" si="31"/>
        <v>May</v>
      </c>
      <c r="E981" s="6" t="s">
        <v>2186</v>
      </c>
      <c r="F981" s="5" t="s">
        <v>2403</v>
      </c>
      <c r="G981">
        <v>3</v>
      </c>
      <c r="H981">
        <v>669.06</v>
      </c>
      <c r="I981" s="6" t="s">
        <v>2648</v>
      </c>
      <c r="J981" s="6" t="s">
        <v>3069</v>
      </c>
      <c r="K981" s="6" t="s">
        <v>3073</v>
      </c>
      <c r="L981" t="s">
        <v>4054</v>
      </c>
      <c r="M981">
        <v>7</v>
      </c>
      <c r="N981" t="s">
        <v>4275</v>
      </c>
      <c r="O981" t="s">
        <v>4281</v>
      </c>
      <c r="P981">
        <v>2007.18</v>
      </c>
    </row>
    <row r="982" spans="1:16" x14ac:dyDescent="0.3">
      <c r="A982" t="s">
        <v>994</v>
      </c>
      <c r="B982" s="3">
        <v>45213</v>
      </c>
      <c r="C982" s="7" t="str">
        <f t="shared" si="30"/>
        <v>2023</v>
      </c>
      <c r="D982" s="7" t="str">
        <f t="shared" si="31"/>
        <v>Oct</v>
      </c>
      <c r="E982" s="6" t="s">
        <v>2187</v>
      </c>
      <c r="F982" s="5" t="s">
        <v>2406</v>
      </c>
      <c r="G982">
        <v>3</v>
      </c>
      <c r="H982">
        <v>69.650000000000006</v>
      </c>
      <c r="I982" s="6" t="s">
        <v>2995</v>
      </c>
      <c r="J982" s="6" t="s">
        <v>3069</v>
      </c>
      <c r="K982" s="6" t="s">
        <v>3073</v>
      </c>
      <c r="L982" t="s">
        <v>4055</v>
      </c>
      <c r="M982">
        <v>7</v>
      </c>
      <c r="N982" t="s">
        <v>4277</v>
      </c>
      <c r="O982" t="s">
        <v>4278</v>
      </c>
      <c r="P982">
        <v>208.95</v>
      </c>
    </row>
    <row r="983" spans="1:16" x14ac:dyDescent="0.3">
      <c r="A983" t="s">
        <v>995</v>
      </c>
      <c r="B983" s="3">
        <v>45256</v>
      </c>
      <c r="C983" s="7" t="str">
        <f t="shared" si="30"/>
        <v>2023</v>
      </c>
      <c r="D983" s="7" t="str">
        <f t="shared" si="31"/>
        <v>Nov</v>
      </c>
      <c r="E983" s="6" t="s">
        <v>2188</v>
      </c>
      <c r="F983" s="5" t="s">
        <v>2404</v>
      </c>
      <c r="G983">
        <v>4</v>
      </c>
      <c r="H983">
        <v>136.83000000000001</v>
      </c>
      <c r="I983" s="6" t="s">
        <v>2996</v>
      </c>
      <c r="J983" s="6" t="s">
        <v>3065</v>
      </c>
      <c r="K983" s="6" t="s">
        <v>3074</v>
      </c>
      <c r="L983" t="s">
        <v>4056</v>
      </c>
      <c r="M983">
        <v>8</v>
      </c>
      <c r="N983" t="s">
        <v>4275</v>
      </c>
      <c r="O983" t="s">
        <v>4280</v>
      </c>
      <c r="P983">
        <v>547.32000000000005</v>
      </c>
    </row>
    <row r="984" spans="1:16" x14ac:dyDescent="0.3">
      <c r="A984" t="s">
        <v>996</v>
      </c>
      <c r="B984" s="3">
        <v>45541</v>
      </c>
      <c r="C984" s="7" t="str">
        <f t="shared" si="30"/>
        <v>2024</v>
      </c>
      <c r="D984" s="7" t="str">
        <f t="shared" si="31"/>
        <v>Sept</v>
      </c>
      <c r="E984" s="6" t="s">
        <v>2189</v>
      </c>
      <c r="F984" s="5" t="s">
        <v>2403</v>
      </c>
      <c r="G984">
        <v>1</v>
      </c>
      <c r="H984">
        <v>304.11</v>
      </c>
      <c r="I984" s="6" t="s">
        <v>2889</v>
      </c>
      <c r="J984" s="6" t="s">
        <v>3068</v>
      </c>
      <c r="K984" s="6" t="s">
        <v>3070</v>
      </c>
      <c r="L984" t="s">
        <v>4057</v>
      </c>
      <c r="M984">
        <v>2</v>
      </c>
      <c r="N984" t="s">
        <v>4275</v>
      </c>
      <c r="O984" t="s">
        <v>4279</v>
      </c>
      <c r="P984">
        <v>304.11</v>
      </c>
    </row>
    <row r="985" spans="1:16" x14ac:dyDescent="0.3">
      <c r="A985" t="s">
        <v>997</v>
      </c>
      <c r="B985" s="3">
        <v>45620</v>
      </c>
      <c r="C985" s="7" t="str">
        <f t="shared" si="30"/>
        <v>2024</v>
      </c>
      <c r="D985" s="7" t="str">
        <f t="shared" si="31"/>
        <v>Nov</v>
      </c>
      <c r="E985" s="6" t="s">
        <v>2190</v>
      </c>
      <c r="F985" s="5" t="s">
        <v>2403</v>
      </c>
      <c r="G985">
        <v>4</v>
      </c>
      <c r="H985">
        <v>296.27999999999997</v>
      </c>
      <c r="I985" s="6" t="s">
        <v>2997</v>
      </c>
      <c r="J985" s="6" t="s">
        <v>3068</v>
      </c>
      <c r="K985" s="6" t="s">
        <v>3070</v>
      </c>
      <c r="L985" t="s">
        <v>4058</v>
      </c>
      <c r="M985">
        <v>5</v>
      </c>
      <c r="N985" t="s">
        <v>4275</v>
      </c>
      <c r="O985" t="s">
        <v>4280</v>
      </c>
      <c r="P985">
        <v>1185.1199999999999</v>
      </c>
    </row>
    <row r="986" spans="1:16" x14ac:dyDescent="0.3">
      <c r="A986" t="s">
        <v>998</v>
      </c>
      <c r="B986" s="3">
        <v>45716</v>
      </c>
      <c r="C986" s="7" t="str">
        <f t="shared" si="30"/>
        <v>2025</v>
      </c>
      <c r="D986" s="7" t="str">
        <f t="shared" si="31"/>
        <v>Feb</v>
      </c>
      <c r="E986" s="6" t="s">
        <v>2191</v>
      </c>
      <c r="F986" s="5" t="s">
        <v>2409</v>
      </c>
      <c r="G986">
        <v>1</v>
      </c>
      <c r="H986">
        <v>77.64</v>
      </c>
      <c r="I986" s="6" t="s">
        <v>2417</v>
      </c>
      <c r="J986" s="6" t="s">
        <v>3067</v>
      </c>
      <c r="K986" s="6" t="s">
        <v>3070</v>
      </c>
      <c r="L986" t="s">
        <v>4059</v>
      </c>
      <c r="M986">
        <v>1</v>
      </c>
      <c r="N986" t="s">
        <v>4276</v>
      </c>
      <c r="O986" t="s">
        <v>4281</v>
      </c>
      <c r="P986">
        <v>77.64</v>
      </c>
    </row>
    <row r="987" spans="1:16" x14ac:dyDescent="0.3">
      <c r="A987" t="s">
        <v>999</v>
      </c>
      <c r="B987" s="3">
        <v>45493</v>
      </c>
      <c r="C987" s="7" t="str">
        <f t="shared" si="30"/>
        <v>2024</v>
      </c>
      <c r="D987" s="7" t="str">
        <f t="shared" si="31"/>
        <v>Jul</v>
      </c>
      <c r="E987" s="6" t="s">
        <v>2192</v>
      </c>
      <c r="F987" s="5" t="s">
        <v>2409</v>
      </c>
      <c r="G987">
        <v>1</v>
      </c>
      <c r="H987">
        <v>243.71</v>
      </c>
      <c r="I987" s="6" t="s">
        <v>2608</v>
      </c>
      <c r="J987" s="6" t="s">
        <v>3068</v>
      </c>
      <c r="K987" s="6" t="s">
        <v>3073</v>
      </c>
      <c r="L987" t="s">
        <v>4060</v>
      </c>
      <c r="M987">
        <v>6</v>
      </c>
      <c r="N987" t="s">
        <v>4275</v>
      </c>
      <c r="O987" t="s">
        <v>4282</v>
      </c>
      <c r="P987">
        <v>243.71</v>
      </c>
    </row>
    <row r="988" spans="1:16" x14ac:dyDescent="0.3">
      <c r="A988" t="s">
        <v>1000</v>
      </c>
      <c r="B988" s="3">
        <v>45542</v>
      </c>
      <c r="C988" s="7" t="str">
        <f t="shared" si="30"/>
        <v>2024</v>
      </c>
      <c r="D988" s="7" t="str">
        <f t="shared" si="31"/>
        <v>Sept</v>
      </c>
      <c r="E988" s="6" t="s">
        <v>2193</v>
      </c>
      <c r="F988" s="5" t="s">
        <v>2408</v>
      </c>
      <c r="G988">
        <v>4</v>
      </c>
      <c r="H988">
        <v>644.96</v>
      </c>
      <c r="I988" s="6" t="s">
        <v>2501</v>
      </c>
      <c r="J988" s="6" t="s">
        <v>3067</v>
      </c>
      <c r="K988" s="6" t="s">
        <v>3074</v>
      </c>
      <c r="L988" t="s">
        <v>4061</v>
      </c>
      <c r="M988">
        <v>7</v>
      </c>
      <c r="N988" t="s">
        <v>4276</v>
      </c>
      <c r="O988" t="s">
        <v>4280</v>
      </c>
      <c r="P988">
        <v>2579.84</v>
      </c>
    </row>
    <row r="989" spans="1:16" x14ac:dyDescent="0.3">
      <c r="A989" t="s">
        <v>1001</v>
      </c>
      <c r="B989" s="3">
        <v>45813</v>
      </c>
      <c r="C989" s="7" t="str">
        <f t="shared" si="30"/>
        <v>2025</v>
      </c>
      <c r="D989" s="7" t="str">
        <f t="shared" si="31"/>
        <v>Jun</v>
      </c>
      <c r="E989" s="6" t="s">
        <v>2194</v>
      </c>
      <c r="F989" s="5" t="s">
        <v>2404</v>
      </c>
      <c r="G989">
        <v>5</v>
      </c>
      <c r="H989">
        <v>283.73</v>
      </c>
      <c r="I989" s="6" t="s">
        <v>2752</v>
      </c>
      <c r="J989" s="6" t="s">
        <v>3068</v>
      </c>
      <c r="K989" s="6" t="s">
        <v>3074</v>
      </c>
      <c r="L989" t="s">
        <v>4062</v>
      </c>
      <c r="M989">
        <v>8</v>
      </c>
      <c r="N989" t="s">
        <v>4276</v>
      </c>
      <c r="O989" t="s">
        <v>4278</v>
      </c>
      <c r="P989">
        <v>1418.65</v>
      </c>
    </row>
    <row r="990" spans="1:16" x14ac:dyDescent="0.3">
      <c r="A990" t="s">
        <v>1002</v>
      </c>
      <c r="B990" s="3">
        <v>45692</v>
      </c>
      <c r="C990" s="7" t="str">
        <f t="shared" si="30"/>
        <v>2025</v>
      </c>
      <c r="D990" s="7" t="str">
        <f t="shared" si="31"/>
        <v>Feb</v>
      </c>
      <c r="E990" s="6" t="s">
        <v>2195</v>
      </c>
      <c r="F990" s="5" t="s">
        <v>2409</v>
      </c>
      <c r="G990">
        <v>2</v>
      </c>
      <c r="H990">
        <v>629.55999999999995</v>
      </c>
      <c r="I990" s="6" t="s">
        <v>2687</v>
      </c>
      <c r="J990" s="6" t="s">
        <v>3068</v>
      </c>
      <c r="K990" s="6" t="s">
        <v>3071</v>
      </c>
      <c r="L990" t="s">
        <v>4063</v>
      </c>
      <c r="M990">
        <v>5</v>
      </c>
      <c r="N990" t="s">
        <v>4277</v>
      </c>
      <c r="O990" t="s">
        <v>4278</v>
      </c>
      <c r="P990">
        <v>1259.1199999999999</v>
      </c>
    </row>
    <row r="991" spans="1:16" x14ac:dyDescent="0.3">
      <c r="A991" t="s">
        <v>1003</v>
      </c>
      <c r="B991" s="3">
        <v>45008</v>
      </c>
      <c r="C991" s="7" t="str">
        <f t="shared" si="30"/>
        <v>2023</v>
      </c>
      <c r="D991" s="7" t="str">
        <f t="shared" si="31"/>
        <v>Mar</v>
      </c>
      <c r="E991" s="6" t="s">
        <v>2196</v>
      </c>
      <c r="F991" s="5" t="s">
        <v>2408</v>
      </c>
      <c r="G991">
        <v>4</v>
      </c>
      <c r="H991">
        <v>246.11</v>
      </c>
      <c r="I991" s="6" t="s">
        <v>2998</v>
      </c>
      <c r="J991" s="6" t="s">
        <v>3067</v>
      </c>
      <c r="K991" s="6" t="s">
        <v>3074</v>
      </c>
      <c r="L991" t="s">
        <v>4064</v>
      </c>
      <c r="M991">
        <v>4</v>
      </c>
      <c r="N991" t="s">
        <v>4275</v>
      </c>
      <c r="O991" t="s">
        <v>4278</v>
      </c>
      <c r="P991">
        <v>984.44</v>
      </c>
    </row>
    <row r="992" spans="1:16" x14ac:dyDescent="0.3">
      <c r="A992" t="s">
        <v>1004</v>
      </c>
      <c r="B992" s="3">
        <v>45249</v>
      </c>
      <c r="C992" s="7" t="str">
        <f t="shared" si="30"/>
        <v>2023</v>
      </c>
      <c r="D992" s="7" t="str">
        <f t="shared" si="31"/>
        <v>Nov</v>
      </c>
      <c r="E992" s="6" t="s">
        <v>2197</v>
      </c>
      <c r="F992" s="5" t="s">
        <v>2404</v>
      </c>
      <c r="G992">
        <v>2</v>
      </c>
      <c r="H992">
        <v>418.26</v>
      </c>
      <c r="I992" s="6" t="s">
        <v>2999</v>
      </c>
      <c r="J992" s="6" t="s">
        <v>3065</v>
      </c>
      <c r="K992" s="6" t="s">
        <v>3074</v>
      </c>
      <c r="L992" t="s">
        <v>4065</v>
      </c>
      <c r="M992">
        <v>2</v>
      </c>
      <c r="N992" t="s">
        <v>4275</v>
      </c>
      <c r="O992" t="s">
        <v>4282</v>
      </c>
      <c r="P992">
        <v>836.52</v>
      </c>
    </row>
    <row r="993" spans="1:16" x14ac:dyDescent="0.3">
      <c r="A993" t="s">
        <v>1005</v>
      </c>
      <c r="B993" s="3">
        <v>45421</v>
      </c>
      <c r="C993" s="7" t="str">
        <f t="shared" si="30"/>
        <v>2024</v>
      </c>
      <c r="D993" s="7" t="str">
        <f t="shared" si="31"/>
        <v>May</v>
      </c>
      <c r="E993" s="6" t="s">
        <v>2198</v>
      </c>
      <c r="F993" s="5" t="s">
        <v>2409</v>
      </c>
      <c r="G993">
        <v>5</v>
      </c>
      <c r="H993">
        <v>127.18</v>
      </c>
      <c r="I993" s="6" t="s">
        <v>2538</v>
      </c>
      <c r="J993" s="6" t="s">
        <v>3065</v>
      </c>
      <c r="K993" s="6" t="s">
        <v>3071</v>
      </c>
      <c r="L993" t="s">
        <v>4066</v>
      </c>
      <c r="M993">
        <v>10</v>
      </c>
      <c r="N993" t="s">
        <v>4276</v>
      </c>
      <c r="O993" t="s">
        <v>4282</v>
      </c>
      <c r="P993">
        <v>635.90000000000009</v>
      </c>
    </row>
    <row r="994" spans="1:16" x14ac:dyDescent="0.3">
      <c r="A994" t="s">
        <v>1006</v>
      </c>
      <c r="B994" s="3">
        <v>45531</v>
      </c>
      <c r="C994" s="7" t="str">
        <f t="shared" si="30"/>
        <v>2024</v>
      </c>
      <c r="D994" s="7" t="str">
        <f t="shared" si="31"/>
        <v>Aug</v>
      </c>
      <c r="E994" s="6" t="s">
        <v>2199</v>
      </c>
      <c r="F994" s="5" t="s">
        <v>2407</v>
      </c>
      <c r="G994">
        <v>3</v>
      </c>
      <c r="H994">
        <v>586.21</v>
      </c>
      <c r="I994" s="6" t="s">
        <v>2543</v>
      </c>
      <c r="J994" s="6" t="s">
        <v>3068</v>
      </c>
      <c r="K994" s="6" t="s">
        <v>3074</v>
      </c>
      <c r="L994" t="s">
        <v>4067</v>
      </c>
      <c r="M994">
        <v>4</v>
      </c>
      <c r="N994" t="s">
        <v>4277</v>
      </c>
      <c r="O994" t="s">
        <v>4279</v>
      </c>
      <c r="P994">
        <v>1758.63</v>
      </c>
    </row>
    <row r="995" spans="1:16" x14ac:dyDescent="0.3">
      <c r="A995" t="s">
        <v>1007</v>
      </c>
      <c r="B995" s="3">
        <v>45388</v>
      </c>
      <c r="C995" s="7" t="str">
        <f t="shared" si="30"/>
        <v>2024</v>
      </c>
      <c r="D995" s="7" t="str">
        <f t="shared" si="31"/>
        <v>Apr</v>
      </c>
      <c r="E995" s="6" t="s">
        <v>2200</v>
      </c>
      <c r="F995" s="5" t="s">
        <v>2403</v>
      </c>
      <c r="G995">
        <v>3</v>
      </c>
      <c r="H995">
        <v>267.45</v>
      </c>
      <c r="I995" s="6" t="s">
        <v>3000</v>
      </c>
      <c r="J995" s="6" t="s">
        <v>3068</v>
      </c>
      <c r="K995" s="6" t="s">
        <v>3073</v>
      </c>
      <c r="L995" t="s">
        <v>4068</v>
      </c>
      <c r="M995">
        <v>5</v>
      </c>
      <c r="N995" t="s">
        <v>4277</v>
      </c>
      <c r="O995" t="s">
        <v>4278</v>
      </c>
      <c r="P995">
        <v>802.34999999999991</v>
      </c>
    </row>
    <row r="996" spans="1:16" x14ac:dyDescent="0.3">
      <c r="A996" t="s">
        <v>1008</v>
      </c>
      <c r="B996" s="3">
        <v>45470</v>
      </c>
      <c r="C996" s="7" t="str">
        <f t="shared" si="30"/>
        <v>2024</v>
      </c>
      <c r="D996" s="7" t="str">
        <f t="shared" si="31"/>
        <v>Jun</v>
      </c>
      <c r="E996" s="6" t="s">
        <v>2201</v>
      </c>
      <c r="F996" s="5" t="s">
        <v>2405</v>
      </c>
      <c r="G996">
        <v>4</v>
      </c>
      <c r="H996">
        <v>615.65</v>
      </c>
      <c r="I996" s="6" t="s">
        <v>2486</v>
      </c>
      <c r="J996" s="6" t="s">
        <v>3065</v>
      </c>
      <c r="K996" s="6" t="s">
        <v>3073</v>
      </c>
      <c r="L996" t="s">
        <v>4069</v>
      </c>
      <c r="M996">
        <v>9</v>
      </c>
      <c r="N996" t="s">
        <v>4277</v>
      </c>
      <c r="O996" t="s">
        <v>4282</v>
      </c>
      <c r="P996">
        <v>2462.6</v>
      </c>
    </row>
    <row r="997" spans="1:16" x14ac:dyDescent="0.3">
      <c r="A997" t="s">
        <v>1009</v>
      </c>
      <c r="B997" s="3">
        <v>45248</v>
      </c>
      <c r="C997" s="7" t="str">
        <f t="shared" si="30"/>
        <v>2023</v>
      </c>
      <c r="D997" s="7" t="str">
        <f t="shared" si="31"/>
        <v>Nov</v>
      </c>
      <c r="E997" s="6" t="s">
        <v>2202</v>
      </c>
      <c r="F997" s="5" t="s">
        <v>2403</v>
      </c>
      <c r="G997">
        <v>2</v>
      </c>
      <c r="H997">
        <v>113.29</v>
      </c>
      <c r="I997" s="6" t="s">
        <v>2801</v>
      </c>
      <c r="J997" s="6" t="s">
        <v>3069</v>
      </c>
      <c r="K997" s="6" t="s">
        <v>3074</v>
      </c>
      <c r="L997" t="s">
        <v>4070</v>
      </c>
      <c r="M997">
        <v>5</v>
      </c>
      <c r="N997" t="s">
        <v>4275</v>
      </c>
      <c r="O997" t="s">
        <v>4281</v>
      </c>
      <c r="P997">
        <v>226.58</v>
      </c>
    </row>
    <row r="998" spans="1:16" x14ac:dyDescent="0.3">
      <c r="A998" t="s">
        <v>1010</v>
      </c>
      <c r="B998" s="3">
        <v>45410</v>
      </c>
      <c r="C998" s="7" t="str">
        <f t="shared" si="30"/>
        <v>2024</v>
      </c>
      <c r="D998" s="7" t="str">
        <f t="shared" si="31"/>
        <v>Apr</v>
      </c>
      <c r="E998" s="6" t="s">
        <v>2203</v>
      </c>
      <c r="F998" s="5" t="s">
        <v>2403</v>
      </c>
      <c r="G998">
        <v>4</v>
      </c>
      <c r="H998">
        <v>473.86</v>
      </c>
      <c r="I998" s="6" t="s">
        <v>2677</v>
      </c>
      <c r="J998" s="6" t="s">
        <v>3065</v>
      </c>
      <c r="K998" s="6" t="s">
        <v>3073</v>
      </c>
      <c r="L998" t="s">
        <v>4071</v>
      </c>
      <c r="M998">
        <v>7</v>
      </c>
      <c r="N998" t="s">
        <v>4275</v>
      </c>
      <c r="O998" t="s">
        <v>4281</v>
      </c>
      <c r="P998">
        <v>1895.44</v>
      </c>
    </row>
    <row r="999" spans="1:16" x14ac:dyDescent="0.3">
      <c r="A999" t="s">
        <v>1011</v>
      </c>
      <c r="B999" s="3">
        <v>45257</v>
      </c>
      <c r="C999" s="7" t="str">
        <f t="shared" si="30"/>
        <v>2023</v>
      </c>
      <c r="D999" s="7" t="str">
        <f t="shared" si="31"/>
        <v>Nov</v>
      </c>
      <c r="E999" s="6" t="s">
        <v>2204</v>
      </c>
      <c r="F999" s="5" t="s">
        <v>2408</v>
      </c>
      <c r="G999">
        <v>3</v>
      </c>
      <c r="H999">
        <v>444.75</v>
      </c>
      <c r="I999" s="6" t="s">
        <v>2795</v>
      </c>
      <c r="J999" s="6" t="s">
        <v>3069</v>
      </c>
      <c r="K999" s="6" t="s">
        <v>3073</v>
      </c>
      <c r="L999" t="s">
        <v>4072</v>
      </c>
      <c r="M999">
        <v>6</v>
      </c>
      <c r="N999" t="s">
        <v>4275</v>
      </c>
      <c r="O999" t="s">
        <v>4281</v>
      </c>
      <c r="P999">
        <v>1334.25</v>
      </c>
    </row>
    <row r="1000" spans="1:16" x14ac:dyDescent="0.3">
      <c r="A1000" t="s">
        <v>1012</v>
      </c>
      <c r="B1000" s="3">
        <v>45065</v>
      </c>
      <c r="C1000" s="7" t="str">
        <f t="shared" si="30"/>
        <v>2023</v>
      </c>
      <c r="D1000" s="7" t="str">
        <f t="shared" si="31"/>
        <v>May</v>
      </c>
      <c r="E1000" s="6" t="s">
        <v>2205</v>
      </c>
      <c r="F1000" s="5" t="s">
        <v>2404</v>
      </c>
      <c r="G1000">
        <v>2</v>
      </c>
      <c r="H1000">
        <v>183.67</v>
      </c>
      <c r="I1000" s="6" t="s">
        <v>2614</v>
      </c>
      <c r="J1000" s="6" t="s">
        <v>3065</v>
      </c>
      <c r="K1000" s="6" t="s">
        <v>3071</v>
      </c>
      <c r="L1000" t="s">
        <v>4073</v>
      </c>
      <c r="M1000">
        <v>6</v>
      </c>
      <c r="N1000" t="s">
        <v>4275</v>
      </c>
      <c r="O1000" t="s">
        <v>4282</v>
      </c>
      <c r="P1000">
        <v>367.34</v>
      </c>
    </row>
    <row r="1001" spans="1:16" x14ac:dyDescent="0.3">
      <c r="A1001" t="s">
        <v>1013</v>
      </c>
      <c r="B1001" s="3">
        <v>45284</v>
      </c>
      <c r="C1001" s="7" t="str">
        <f t="shared" si="30"/>
        <v>2023</v>
      </c>
      <c r="D1001" s="7" t="str">
        <f t="shared" si="31"/>
        <v>Dec</v>
      </c>
      <c r="E1001" s="6" t="s">
        <v>2206</v>
      </c>
      <c r="F1001" s="5" t="s">
        <v>2407</v>
      </c>
      <c r="G1001">
        <v>1</v>
      </c>
      <c r="H1001">
        <v>483.38</v>
      </c>
      <c r="I1001" s="6" t="s">
        <v>2741</v>
      </c>
      <c r="J1001" s="6" t="s">
        <v>3069</v>
      </c>
      <c r="K1001" s="6" t="s">
        <v>3074</v>
      </c>
      <c r="L1001" t="s">
        <v>4074</v>
      </c>
      <c r="M1001">
        <v>6</v>
      </c>
      <c r="N1001" t="s">
        <v>4276</v>
      </c>
      <c r="O1001" t="s">
        <v>4282</v>
      </c>
      <c r="P1001">
        <v>483.38</v>
      </c>
    </row>
    <row r="1002" spans="1:16" x14ac:dyDescent="0.3">
      <c r="A1002" t="s">
        <v>1014</v>
      </c>
      <c r="B1002" s="3">
        <v>45098</v>
      </c>
      <c r="C1002" s="7" t="str">
        <f t="shared" si="30"/>
        <v>2023</v>
      </c>
      <c r="D1002" s="7" t="str">
        <f t="shared" si="31"/>
        <v>Jun</v>
      </c>
      <c r="E1002" s="6" t="s">
        <v>2207</v>
      </c>
      <c r="F1002" s="5" t="s">
        <v>2407</v>
      </c>
      <c r="G1002">
        <v>5</v>
      </c>
      <c r="H1002">
        <v>260.93</v>
      </c>
      <c r="I1002" s="6" t="s">
        <v>3001</v>
      </c>
      <c r="J1002" s="6" t="s">
        <v>3066</v>
      </c>
      <c r="K1002" s="6" t="s">
        <v>3073</v>
      </c>
      <c r="L1002" t="s">
        <v>4075</v>
      </c>
      <c r="M1002">
        <v>9</v>
      </c>
      <c r="N1002" t="s">
        <v>4275</v>
      </c>
      <c r="O1002" t="s">
        <v>4280</v>
      </c>
      <c r="P1002">
        <v>1304.6500000000001</v>
      </c>
    </row>
    <row r="1003" spans="1:16" x14ac:dyDescent="0.3">
      <c r="A1003" t="s">
        <v>1015</v>
      </c>
      <c r="B1003" s="3">
        <v>45268</v>
      </c>
      <c r="C1003" s="7" t="str">
        <f t="shared" si="30"/>
        <v>2023</v>
      </c>
      <c r="D1003" s="7" t="str">
        <f t="shared" si="31"/>
        <v>Dec</v>
      </c>
      <c r="E1003" s="6" t="s">
        <v>2208</v>
      </c>
      <c r="F1003" s="5" t="s">
        <v>2407</v>
      </c>
      <c r="G1003">
        <v>2</v>
      </c>
      <c r="H1003">
        <v>253.68</v>
      </c>
      <c r="I1003" s="6" t="s">
        <v>2518</v>
      </c>
      <c r="J1003" s="6" t="s">
        <v>3068</v>
      </c>
      <c r="K1003" s="6" t="s">
        <v>3070</v>
      </c>
      <c r="L1003" t="s">
        <v>4076</v>
      </c>
      <c r="M1003">
        <v>6</v>
      </c>
      <c r="N1003" t="s">
        <v>4285</v>
      </c>
      <c r="O1003" t="s">
        <v>4279</v>
      </c>
      <c r="P1003">
        <v>507.36</v>
      </c>
    </row>
    <row r="1004" spans="1:16" x14ac:dyDescent="0.3">
      <c r="A1004" t="s">
        <v>1016</v>
      </c>
      <c r="B1004" s="3">
        <v>45827</v>
      </c>
      <c r="C1004" s="7" t="str">
        <f t="shared" si="30"/>
        <v>2025</v>
      </c>
      <c r="D1004" s="7" t="str">
        <f t="shared" si="31"/>
        <v>Jun</v>
      </c>
      <c r="E1004" s="6" t="s">
        <v>2209</v>
      </c>
      <c r="F1004" s="5" t="s">
        <v>2405</v>
      </c>
      <c r="G1004">
        <v>4</v>
      </c>
      <c r="H1004">
        <v>699.88</v>
      </c>
      <c r="I1004" s="6" t="s">
        <v>2505</v>
      </c>
      <c r="J1004" s="6" t="s">
        <v>3069</v>
      </c>
      <c r="K1004" s="6" t="s">
        <v>3074</v>
      </c>
      <c r="L1004" t="s">
        <v>4077</v>
      </c>
      <c r="M1004">
        <v>5</v>
      </c>
      <c r="N1004" t="s">
        <v>4277</v>
      </c>
      <c r="O1004" t="s">
        <v>4279</v>
      </c>
      <c r="P1004">
        <v>2799.52</v>
      </c>
    </row>
    <row r="1005" spans="1:16" x14ac:dyDescent="0.3">
      <c r="A1005" t="s">
        <v>1017</v>
      </c>
      <c r="B1005" s="3">
        <v>44937</v>
      </c>
      <c r="C1005" s="7" t="str">
        <f t="shared" si="30"/>
        <v>2023</v>
      </c>
      <c r="D1005" s="7" t="str">
        <f t="shared" si="31"/>
        <v>Jan</v>
      </c>
      <c r="E1005" s="6" t="s">
        <v>2210</v>
      </c>
      <c r="F1005" s="5" t="s">
        <v>2407</v>
      </c>
      <c r="G1005">
        <v>5</v>
      </c>
      <c r="H1005">
        <v>319.97000000000003</v>
      </c>
      <c r="I1005" s="6" t="s">
        <v>3001</v>
      </c>
      <c r="J1005" s="6" t="s">
        <v>3069</v>
      </c>
      <c r="K1005" s="6" t="s">
        <v>3070</v>
      </c>
      <c r="L1005" t="s">
        <v>4078</v>
      </c>
      <c r="M1005">
        <v>7</v>
      </c>
      <c r="N1005" t="s">
        <v>4275</v>
      </c>
      <c r="O1005" t="s">
        <v>4282</v>
      </c>
      <c r="P1005">
        <v>1599.85</v>
      </c>
    </row>
    <row r="1006" spans="1:16" x14ac:dyDescent="0.3">
      <c r="A1006" t="s">
        <v>1018</v>
      </c>
      <c r="B1006" s="3">
        <v>45817</v>
      </c>
      <c r="C1006" s="7" t="str">
        <f t="shared" si="30"/>
        <v>2025</v>
      </c>
      <c r="D1006" s="7" t="str">
        <f t="shared" si="31"/>
        <v>Jun</v>
      </c>
      <c r="E1006" s="6" t="s">
        <v>2211</v>
      </c>
      <c r="F1006" s="5" t="s">
        <v>2406</v>
      </c>
      <c r="G1006">
        <v>4</v>
      </c>
      <c r="H1006">
        <v>246.91</v>
      </c>
      <c r="I1006" s="6" t="s">
        <v>2436</v>
      </c>
      <c r="J1006" s="6" t="s">
        <v>3066</v>
      </c>
      <c r="K1006" s="6" t="s">
        <v>3074</v>
      </c>
      <c r="L1006" t="s">
        <v>4079</v>
      </c>
      <c r="M1006">
        <v>8</v>
      </c>
      <c r="N1006" t="s">
        <v>4275</v>
      </c>
      <c r="O1006" t="s">
        <v>4279</v>
      </c>
      <c r="P1006">
        <v>987.64</v>
      </c>
    </row>
    <row r="1007" spans="1:16" x14ac:dyDescent="0.3">
      <c r="A1007" t="s">
        <v>1019</v>
      </c>
      <c r="B1007" s="3">
        <v>44987</v>
      </c>
      <c r="C1007" s="7" t="str">
        <f t="shared" si="30"/>
        <v>2023</v>
      </c>
      <c r="D1007" s="7" t="str">
        <f t="shared" si="31"/>
        <v>Mar</v>
      </c>
      <c r="E1007" s="6" t="s">
        <v>2212</v>
      </c>
      <c r="F1007" s="5" t="s">
        <v>2407</v>
      </c>
      <c r="G1007">
        <v>3</v>
      </c>
      <c r="H1007">
        <v>392.85</v>
      </c>
      <c r="I1007" s="6" t="s">
        <v>2929</v>
      </c>
      <c r="J1007" s="6" t="s">
        <v>3067</v>
      </c>
      <c r="K1007" s="6" t="s">
        <v>3072</v>
      </c>
      <c r="L1007" t="s">
        <v>4080</v>
      </c>
      <c r="M1007">
        <v>6</v>
      </c>
      <c r="N1007" t="s">
        <v>4285</v>
      </c>
      <c r="O1007" t="s">
        <v>4282</v>
      </c>
      <c r="P1007">
        <v>1178.55</v>
      </c>
    </row>
    <row r="1008" spans="1:16" x14ac:dyDescent="0.3">
      <c r="A1008" t="s">
        <v>1020</v>
      </c>
      <c r="B1008" s="3">
        <v>45439</v>
      </c>
      <c r="C1008" s="7" t="str">
        <f t="shared" si="30"/>
        <v>2024</v>
      </c>
      <c r="D1008" s="7" t="str">
        <f t="shared" si="31"/>
        <v>May</v>
      </c>
      <c r="E1008" s="6" t="s">
        <v>2213</v>
      </c>
      <c r="F1008" s="5" t="s">
        <v>2405</v>
      </c>
      <c r="G1008">
        <v>5</v>
      </c>
      <c r="H1008">
        <v>420.98</v>
      </c>
      <c r="I1008" s="6" t="s">
        <v>2868</v>
      </c>
      <c r="J1008" s="6" t="s">
        <v>3069</v>
      </c>
      <c r="K1008" s="6" t="s">
        <v>3073</v>
      </c>
      <c r="L1008" t="s">
        <v>4081</v>
      </c>
      <c r="M1008">
        <v>7</v>
      </c>
      <c r="N1008" t="s">
        <v>4275</v>
      </c>
      <c r="O1008" t="s">
        <v>4281</v>
      </c>
      <c r="P1008">
        <v>2104.9</v>
      </c>
    </row>
    <row r="1009" spans="1:16" x14ac:dyDescent="0.3">
      <c r="A1009" t="s">
        <v>1021</v>
      </c>
      <c r="B1009" s="3">
        <v>45371</v>
      </c>
      <c r="C1009" s="7" t="str">
        <f t="shared" si="30"/>
        <v>2024</v>
      </c>
      <c r="D1009" s="7" t="str">
        <f t="shared" si="31"/>
        <v>Mar</v>
      </c>
      <c r="E1009" s="6" t="s">
        <v>1699</v>
      </c>
      <c r="F1009" s="5" t="s">
        <v>2403</v>
      </c>
      <c r="G1009">
        <v>2</v>
      </c>
      <c r="H1009">
        <v>73.260000000000005</v>
      </c>
      <c r="I1009" s="6" t="s">
        <v>2499</v>
      </c>
      <c r="J1009" s="6" t="s">
        <v>3069</v>
      </c>
      <c r="K1009" s="6" t="s">
        <v>3074</v>
      </c>
      <c r="L1009" t="s">
        <v>4082</v>
      </c>
      <c r="M1009">
        <v>4</v>
      </c>
      <c r="N1009" t="s">
        <v>4277</v>
      </c>
      <c r="O1009" t="s">
        <v>4281</v>
      </c>
      <c r="P1009">
        <v>146.52000000000001</v>
      </c>
    </row>
    <row r="1010" spans="1:16" x14ac:dyDescent="0.3">
      <c r="A1010" t="s">
        <v>1022</v>
      </c>
      <c r="B1010" s="3">
        <v>44939</v>
      </c>
      <c r="C1010" s="7" t="str">
        <f t="shared" si="30"/>
        <v>2023</v>
      </c>
      <c r="D1010" s="7" t="str">
        <f t="shared" si="31"/>
        <v>Jan</v>
      </c>
      <c r="E1010" s="6" t="s">
        <v>2214</v>
      </c>
      <c r="F1010" s="5" t="s">
        <v>2403</v>
      </c>
      <c r="G1010">
        <v>3</v>
      </c>
      <c r="H1010">
        <v>410.88</v>
      </c>
      <c r="I1010" s="6" t="s">
        <v>2916</v>
      </c>
      <c r="J1010" s="6" t="s">
        <v>3069</v>
      </c>
      <c r="K1010" s="6" t="s">
        <v>3073</v>
      </c>
      <c r="L1010" t="s">
        <v>4083</v>
      </c>
      <c r="M1010">
        <v>8</v>
      </c>
      <c r="N1010" t="s">
        <v>4276</v>
      </c>
      <c r="O1010" t="s">
        <v>4278</v>
      </c>
      <c r="P1010">
        <v>1232.6400000000001</v>
      </c>
    </row>
    <row r="1011" spans="1:16" x14ac:dyDescent="0.3">
      <c r="A1011" t="s">
        <v>1023</v>
      </c>
      <c r="B1011" s="3">
        <v>45171</v>
      </c>
      <c r="C1011" s="7" t="str">
        <f t="shared" si="30"/>
        <v>2023</v>
      </c>
      <c r="D1011" s="7" t="str">
        <f t="shared" si="31"/>
        <v>Sept</v>
      </c>
      <c r="E1011" s="6" t="s">
        <v>2215</v>
      </c>
      <c r="F1011" s="5" t="s">
        <v>2405</v>
      </c>
      <c r="G1011">
        <v>2</v>
      </c>
      <c r="H1011">
        <v>176.46</v>
      </c>
      <c r="I1011" s="6" t="s">
        <v>2796</v>
      </c>
      <c r="J1011" s="6" t="s">
        <v>3067</v>
      </c>
      <c r="K1011" s="6" t="s">
        <v>3073</v>
      </c>
      <c r="L1011" t="s">
        <v>4084</v>
      </c>
      <c r="M1011">
        <v>2</v>
      </c>
      <c r="N1011" t="s">
        <v>4276</v>
      </c>
      <c r="O1011" t="s">
        <v>4280</v>
      </c>
      <c r="P1011">
        <v>352.92</v>
      </c>
    </row>
    <row r="1012" spans="1:16" x14ac:dyDescent="0.3">
      <c r="A1012" t="s">
        <v>1024</v>
      </c>
      <c r="B1012" s="3">
        <v>45016</v>
      </c>
      <c r="C1012" s="7" t="str">
        <f t="shared" si="30"/>
        <v>2023</v>
      </c>
      <c r="D1012" s="7" t="str">
        <f t="shared" si="31"/>
        <v>Mar</v>
      </c>
      <c r="E1012" s="6" t="s">
        <v>2216</v>
      </c>
      <c r="F1012" s="5" t="s">
        <v>2403</v>
      </c>
      <c r="G1012">
        <v>3</v>
      </c>
      <c r="H1012">
        <v>659.57</v>
      </c>
      <c r="I1012" s="6" t="s">
        <v>2501</v>
      </c>
      <c r="J1012" s="6" t="s">
        <v>3067</v>
      </c>
      <c r="K1012" s="6" t="s">
        <v>3071</v>
      </c>
      <c r="L1012" t="s">
        <v>4085</v>
      </c>
      <c r="M1012">
        <v>6</v>
      </c>
      <c r="N1012" t="s">
        <v>4275</v>
      </c>
      <c r="O1012" t="s">
        <v>4280</v>
      </c>
      <c r="P1012">
        <v>1978.71</v>
      </c>
    </row>
    <row r="1013" spans="1:16" x14ac:dyDescent="0.3">
      <c r="A1013" t="s">
        <v>1025</v>
      </c>
      <c r="B1013" s="3">
        <v>45629</v>
      </c>
      <c r="C1013" s="7" t="str">
        <f t="shared" si="30"/>
        <v>2024</v>
      </c>
      <c r="D1013" s="7" t="str">
        <f t="shared" si="31"/>
        <v>Dec</v>
      </c>
      <c r="E1013" s="6" t="s">
        <v>2217</v>
      </c>
      <c r="F1013" s="5" t="s">
        <v>2404</v>
      </c>
      <c r="G1013">
        <v>2</v>
      </c>
      <c r="H1013">
        <v>478.36</v>
      </c>
      <c r="I1013" s="6" t="s">
        <v>2646</v>
      </c>
      <c r="J1013" s="6" t="s">
        <v>3066</v>
      </c>
      <c r="K1013" s="6" t="s">
        <v>3070</v>
      </c>
      <c r="L1013" t="s">
        <v>4086</v>
      </c>
      <c r="M1013">
        <v>3</v>
      </c>
      <c r="N1013" t="s">
        <v>4285</v>
      </c>
      <c r="O1013" t="s">
        <v>4282</v>
      </c>
      <c r="P1013">
        <v>956.72</v>
      </c>
    </row>
    <row r="1014" spans="1:16" x14ac:dyDescent="0.3">
      <c r="A1014" t="s">
        <v>1026</v>
      </c>
      <c r="B1014" s="3">
        <v>45629</v>
      </c>
      <c r="C1014" s="7" t="str">
        <f t="shared" si="30"/>
        <v>2024</v>
      </c>
      <c r="D1014" s="7" t="str">
        <f t="shared" si="31"/>
        <v>Dec</v>
      </c>
      <c r="E1014" s="6" t="s">
        <v>2218</v>
      </c>
      <c r="F1014" s="5" t="s">
        <v>2407</v>
      </c>
      <c r="G1014">
        <v>4</v>
      </c>
      <c r="H1014">
        <v>30.05</v>
      </c>
      <c r="I1014" s="6" t="s">
        <v>2676</v>
      </c>
      <c r="J1014" s="6" t="s">
        <v>3066</v>
      </c>
      <c r="K1014" s="6" t="s">
        <v>3072</v>
      </c>
      <c r="L1014" t="s">
        <v>4087</v>
      </c>
      <c r="M1014">
        <v>6</v>
      </c>
      <c r="N1014" t="s">
        <v>4285</v>
      </c>
      <c r="O1014" t="s">
        <v>4281</v>
      </c>
      <c r="P1014">
        <v>120.2</v>
      </c>
    </row>
    <row r="1015" spans="1:16" x14ac:dyDescent="0.3">
      <c r="A1015" t="s">
        <v>1027</v>
      </c>
      <c r="B1015" s="3">
        <v>45773</v>
      </c>
      <c r="C1015" s="7" t="str">
        <f t="shared" si="30"/>
        <v>2025</v>
      </c>
      <c r="D1015" s="7" t="str">
        <f t="shared" si="31"/>
        <v>Apr</v>
      </c>
      <c r="E1015" s="6" t="s">
        <v>2219</v>
      </c>
      <c r="F1015" s="5" t="s">
        <v>2408</v>
      </c>
      <c r="G1015">
        <v>4</v>
      </c>
      <c r="H1015">
        <v>300.56</v>
      </c>
      <c r="I1015" s="6" t="s">
        <v>2463</v>
      </c>
      <c r="J1015" s="6" t="s">
        <v>3069</v>
      </c>
      <c r="K1015" s="6" t="s">
        <v>3071</v>
      </c>
      <c r="L1015" t="s">
        <v>4088</v>
      </c>
      <c r="M1015">
        <v>9</v>
      </c>
      <c r="N1015" t="s">
        <v>4276</v>
      </c>
      <c r="O1015" t="s">
        <v>4281</v>
      </c>
      <c r="P1015">
        <v>1202.24</v>
      </c>
    </row>
    <row r="1016" spans="1:16" x14ac:dyDescent="0.3">
      <c r="A1016" t="s">
        <v>1028</v>
      </c>
      <c r="B1016" s="3">
        <v>45326</v>
      </c>
      <c r="C1016" s="7" t="str">
        <f t="shared" si="30"/>
        <v>2024</v>
      </c>
      <c r="D1016" s="7" t="str">
        <f t="shared" si="31"/>
        <v>Feb</v>
      </c>
      <c r="E1016" s="6" t="s">
        <v>2220</v>
      </c>
      <c r="F1016" s="5" t="s">
        <v>2405</v>
      </c>
      <c r="G1016">
        <v>5</v>
      </c>
      <c r="H1016">
        <v>226.45</v>
      </c>
      <c r="I1016" s="6" t="s">
        <v>2762</v>
      </c>
      <c r="J1016" s="6" t="s">
        <v>3065</v>
      </c>
      <c r="K1016" s="6" t="s">
        <v>3072</v>
      </c>
      <c r="L1016" t="s">
        <v>4089</v>
      </c>
      <c r="M1016">
        <v>6</v>
      </c>
      <c r="N1016" t="s">
        <v>4276</v>
      </c>
      <c r="O1016" t="s">
        <v>4280</v>
      </c>
      <c r="P1016">
        <v>1132.25</v>
      </c>
    </row>
    <row r="1017" spans="1:16" x14ac:dyDescent="0.3">
      <c r="A1017" t="s">
        <v>1029</v>
      </c>
      <c r="B1017" s="3">
        <v>45317</v>
      </c>
      <c r="C1017" s="7" t="str">
        <f t="shared" si="30"/>
        <v>2024</v>
      </c>
      <c r="D1017" s="7" t="str">
        <f t="shared" si="31"/>
        <v>Jan</v>
      </c>
      <c r="E1017" s="6" t="s">
        <v>2221</v>
      </c>
      <c r="F1017" s="5" t="s">
        <v>2407</v>
      </c>
      <c r="G1017">
        <v>2</v>
      </c>
      <c r="H1017">
        <v>349.4</v>
      </c>
      <c r="I1017" s="6" t="s">
        <v>2838</v>
      </c>
      <c r="J1017" s="6" t="s">
        <v>3066</v>
      </c>
      <c r="K1017" s="6" t="s">
        <v>3070</v>
      </c>
      <c r="L1017" t="s">
        <v>4090</v>
      </c>
      <c r="M1017">
        <v>2</v>
      </c>
      <c r="N1017" t="s">
        <v>4275</v>
      </c>
      <c r="O1017" t="s">
        <v>4278</v>
      </c>
      <c r="P1017">
        <v>698.8</v>
      </c>
    </row>
    <row r="1018" spans="1:16" x14ac:dyDescent="0.3">
      <c r="A1018" t="s">
        <v>1030</v>
      </c>
      <c r="B1018" s="3">
        <v>45289</v>
      </c>
      <c r="C1018" s="7" t="str">
        <f t="shared" si="30"/>
        <v>2023</v>
      </c>
      <c r="D1018" s="7" t="str">
        <f t="shared" si="31"/>
        <v>Dec</v>
      </c>
      <c r="E1018" s="6" t="s">
        <v>2222</v>
      </c>
      <c r="F1018" s="5" t="s">
        <v>2405</v>
      </c>
      <c r="G1018">
        <v>5</v>
      </c>
      <c r="H1018">
        <v>268.77999999999997</v>
      </c>
      <c r="I1018" s="6" t="s">
        <v>3002</v>
      </c>
      <c r="J1018" s="6" t="s">
        <v>3065</v>
      </c>
      <c r="K1018" s="6" t="s">
        <v>3073</v>
      </c>
      <c r="L1018" t="s">
        <v>4091</v>
      </c>
      <c r="M1018">
        <v>7</v>
      </c>
      <c r="N1018" t="s">
        <v>4277</v>
      </c>
      <c r="O1018" t="s">
        <v>4280</v>
      </c>
      <c r="P1018">
        <v>1343.9</v>
      </c>
    </row>
    <row r="1019" spans="1:16" x14ac:dyDescent="0.3">
      <c r="A1019" t="s">
        <v>1031</v>
      </c>
      <c r="B1019" s="3">
        <v>45529</v>
      </c>
      <c r="C1019" s="7" t="str">
        <f t="shared" si="30"/>
        <v>2024</v>
      </c>
      <c r="D1019" s="7" t="str">
        <f t="shared" si="31"/>
        <v>Aug</v>
      </c>
      <c r="E1019" s="6" t="s">
        <v>2223</v>
      </c>
      <c r="F1019" s="5" t="s">
        <v>2406</v>
      </c>
      <c r="G1019">
        <v>2</v>
      </c>
      <c r="H1019">
        <v>680.85</v>
      </c>
      <c r="I1019" s="6" t="s">
        <v>3003</v>
      </c>
      <c r="J1019" s="6" t="s">
        <v>3068</v>
      </c>
      <c r="K1019" s="6" t="s">
        <v>3073</v>
      </c>
      <c r="L1019" t="s">
        <v>4092</v>
      </c>
      <c r="M1019">
        <v>6</v>
      </c>
      <c r="N1019" t="s">
        <v>4276</v>
      </c>
      <c r="O1019" t="s">
        <v>4279</v>
      </c>
      <c r="P1019">
        <v>1361.7</v>
      </c>
    </row>
    <row r="1020" spans="1:16" x14ac:dyDescent="0.3">
      <c r="A1020" t="s">
        <v>1032</v>
      </c>
      <c r="B1020" s="3">
        <v>45115</v>
      </c>
      <c r="C1020" s="7" t="str">
        <f t="shared" si="30"/>
        <v>2023</v>
      </c>
      <c r="D1020" s="7" t="str">
        <f t="shared" si="31"/>
        <v>Jul</v>
      </c>
      <c r="E1020" s="6" t="s">
        <v>2224</v>
      </c>
      <c r="F1020" s="5" t="s">
        <v>2408</v>
      </c>
      <c r="G1020">
        <v>3</v>
      </c>
      <c r="H1020">
        <v>182.48</v>
      </c>
      <c r="I1020" s="6" t="s">
        <v>3004</v>
      </c>
      <c r="J1020" s="6" t="s">
        <v>3069</v>
      </c>
      <c r="K1020" s="6" t="s">
        <v>3073</v>
      </c>
      <c r="L1020" t="s">
        <v>4093</v>
      </c>
      <c r="M1020">
        <v>3</v>
      </c>
      <c r="N1020" t="s">
        <v>4285</v>
      </c>
      <c r="O1020" t="s">
        <v>4278</v>
      </c>
      <c r="P1020">
        <v>547.43999999999994</v>
      </c>
    </row>
    <row r="1021" spans="1:16" x14ac:dyDescent="0.3">
      <c r="A1021" t="s">
        <v>1033</v>
      </c>
      <c r="B1021" s="3">
        <v>45388</v>
      </c>
      <c r="C1021" s="7" t="str">
        <f t="shared" si="30"/>
        <v>2024</v>
      </c>
      <c r="D1021" s="7" t="str">
        <f t="shared" si="31"/>
        <v>Apr</v>
      </c>
      <c r="E1021" s="6" t="s">
        <v>2225</v>
      </c>
      <c r="F1021" s="5" t="s">
        <v>2409</v>
      </c>
      <c r="G1021">
        <v>1</v>
      </c>
      <c r="H1021">
        <v>277.08999999999997</v>
      </c>
      <c r="I1021" s="6" t="s">
        <v>2694</v>
      </c>
      <c r="J1021" s="6" t="s">
        <v>3069</v>
      </c>
      <c r="K1021" s="6" t="s">
        <v>3072</v>
      </c>
      <c r="L1021" t="s">
        <v>4094</v>
      </c>
      <c r="M1021">
        <v>2</v>
      </c>
      <c r="N1021" t="s">
        <v>4275</v>
      </c>
      <c r="O1021" t="s">
        <v>4279</v>
      </c>
      <c r="P1021">
        <v>277.08999999999997</v>
      </c>
    </row>
    <row r="1022" spans="1:16" x14ac:dyDescent="0.3">
      <c r="A1022" t="s">
        <v>1034</v>
      </c>
      <c r="B1022" s="3">
        <v>45404</v>
      </c>
      <c r="C1022" s="7" t="str">
        <f t="shared" si="30"/>
        <v>2024</v>
      </c>
      <c r="D1022" s="7" t="str">
        <f t="shared" si="31"/>
        <v>Apr</v>
      </c>
      <c r="E1022" s="6" t="s">
        <v>2226</v>
      </c>
      <c r="F1022" s="5" t="s">
        <v>2405</v>
      </c>
      <c r="G1022">
        <v>2</v>
      </c>
      <c r="H1022">
        <v>26.5</v>
      </c>
      <c r="I1022" s="6" t="s">
        <v>2714</v>
      </c>
      <c r="J1022" s="6" t="s">
        <v>3066</v>
      </c>
      <c r="K1022" s="6" t="s">
        <v>3073</v>
      </c>
      <c r="L1022" t="s">
        <v>4095</v>
      </c>
      <c r="M1022">
        <v>3</v>
      </c>
      <c r="N1022" t="s">
        <v>4275</v>
      </c>
      <c r="O1022" t="s">
        <v>4278</v>
      </c>
      <c r="P1022">
        <v>53</v>
      </c>
    </row>
    <row r="1023" spans="1:16" x14ac:dyDescent="0.3">
      <c r="A1023" t="s">
        <v>1035</v>
      </c>
      <c r="B1023" s="3">
        <v>45222</v>
      </c>
      <c r="C1023" s="7" t="str">
        <f t="shared" si="30"/>
        <v>2023</v>
      </c>
      <c r="D1023" s="7" t="str">
        <f t="shared" si="31"/>
        <v>Oct</v>
      </c>
      <c r="E1023" s="6" t="s">
        <v>2227</v>
      </c>
      <c r="F1023" s="5" t="s">
        <v>2404</v>
      </c>
      <c r="G1023">
        <v>3</v>
      </c>
      <c r="H1023">
        <v>315.27</v>
      </c>
      <c r="I1023" s="6" t="s">
        <v>2961</v>
      </c>
      <c r="J1023" s="6" t="s">
        <v>3067</v>
      </c>
      <c r="K1023" s="6" t="s">
        <v>3071</v>
      </c>
      <c r="L1023" t="s">
        <v>4096</v>
      </c>
      <c r="M1023">
        <v>4</v>
      </c>
      <c r="N1023" t="s">
        <v>4275</v>
      </c>
      <c r="O1023" t="s">
        <v>4280</v>
      </c>
      <c r="P1023">
        <v>945.81</v>
      </c>
    </row>
    <row r="1024" spans="1:16" x14ac:dyDescent="0.3">
      <c r="A1024" t="s">
        <v>1036</v>
      </c>
      <c r="B1024" s="3">
        <v>45712</v>
      </c>
      <c r="C1024" s="7" t="str">
        <f t="shared" si="30"/>
        <v>2025</v>
      </c>
      <c r="D1024" s="7" t="str">
        <f t="shared" si="31"/>
        <v>Feb</v>
      </c>
      <c r="E1024" s="6" t="s">
        <v>2228</v>
      </c>
      <c r="F1024" s="5" t="s">
        <v>2405</v>
      </c>
      <c r="G1024">
        <v>3</v>
      </c>
      <c r="H1024">
        <v>450.98</v>
      </c>
      <c r="I1024" s="6" t="s">
        <v>2877</v>
      </c>
      <c r="J1024" s="6" t="s">
        <v>3067</v>
      </c>
      <c r="K1024" s="6" t="s">
        <v>3070</v>
      </c>
      <c r="L1024" t="s">
        <v>4097</v>
      </c>
      <c r="M1024">
        <v>8</v>
      </c>
      <c r="N1024" t="s">
        <v>4275</v>
      </c>
      <c r="O1024" t="s">
        <v>4279</v>
      </c>
      <c r="P1024">
        <v>1352.94</v>
      </c>
    </row>
    <row r="1025" spans="1:16" x14ac:dyDescent="0.3">
      <c r="A1025" t="s">
        <v>1037</v>
      </c>
      <c r="B1025" s="3">
        <v>45558</v>
      </c>
      <c r="C1025" s="7" t="str">
        <f t="shared" si="30"/>
        <v>2024</v>
      </c>
      <c r="D1025" s="7" t="str">
        <f t="shared" si="31"/>
        <v>Sept</v>
      </c>
      <c r="E1025" s="6" t="s">
        <v>2229</v>
      </c>
      <c r="F1025" s="5" t="s">
        <v>2408</v>
      </c>
      <c r="G1025">
        <v>5</v>
      </c>
      <c r="H1025">
        <v>233.67</v>
      </c>
      <c r="I1025" s="6" t="s">
        <v>2493</v>
      </c>
      <c r="J1025" s="6" t="s">
        <v>3069</v>
      </c>
      <c r="K1025" s="6" t="s">
        <v>3070</v>
      </c>
      <c r="L1025" t="s">
        <v>4098</v>
      </c>
      <c r="M1025">
        <v>10</v>
      </c>
      <c r="N1025" t="s">
        <v>4285</v>
      </c>
      <c r="O1025" t="s">
        <v>4279</v>
      </c>
      <c r="P1025">
        <v>1168.3499999999999</v>
      </c>
    </row>
    <row r="1026" spans="1:16" x14ac:dyDescent="0.3">
      <c r="A1026" t="s">
        <v>1038</v>
      </c>
      <c r="B1026" s="3">
        <v>45320</v>
      </c>
      <c r="C1026" s="7" t="str">
        <f t="shared" ref="C1026:C1089" si="32">TEXT(B1026, "yyyy")</f>
        <v>2024</v>
      </c>
      <c r="D1026" s="7" t="str">
        <f t="shared" ref="D1026:D1089" si="33">TEXT(B1026, "MMM")</f>
        <v>Jan</v>
      </c>
      <c r="E1026" s="6" t="s">
        <v>2230</v>
      </c>
      <c r="F1026" s="5" t="s">
        <v>2406</v>
      </c>
      <c r="G1026">
        <v>3</v>
      </c>
      <c r="H1026">
        <v>367.75</v>
      </c>
      <c r="I1026" s="6" t="s">
        <v>2769</v>
      </c>
      <c r="J1026" s="6" t="s">
        <v>3069</v>
      </c>
      <c r="K1026" s="6" t="s">
        <v>3074</v>
      </c>
      <c r="L1026" t="s">
        <v>4099</v>
      </c>
      <c r="M1026">
        <v>7</v>
      </c>
      <c r="N1026" t="s">
        <v>4276</v>
      </c>
      <c r="O1026" t="s">
        <v>4281</v>
      </c>
      <c r="P1026">
        <v>1103.25</v>
      </c>
    </row>
    <row r="1027" spans="1:16" x14ac:dyDescent="0.3">
      <c r="A1027" t="s">
        <v>1039</v>
      </c>
      <c r="B1027" s="3">
        <v>45794</v>
      </c>
      <c r="C1027" s="7" t="str">
        <f t="shared" si="32"/>
        <v>2025</v>
      </c>
      <c r="D1027" s="7" t="str">
        <f t="shared" si="33"/>
        <v>May</v>
      </c>
      <c r="E1027" s="6" t="s">
        <v>2231</v>
      </c>
      <c r="F1027" s="5" t="s">
        <v>2406</v>
      </c>
      <c r="G1027">
        <v>1</v>
      </c>
      <c r="H1027">
        <v>23.53</v>
      </c>
      <c r="I1027" s="6" t="s">
        <v>2548</v>
      </c>
      <c r="J1027" s="6" t="s">
        <v>3068</v>
      </c>
      <c r="K1027" s="6" t="s">
        <v>3073</v>
      </c>
      <c r="L1027" t="s">
        <v>4100</v>
      </c>
      <c r="M1027">
        <v>2</v>
      </c>
      <c r="N1027" t="s">
        <v>4276</v>
      </c>
      <c r="O1027" t="s">
        <v>4278</v>
      </c>
      <c r="P1027">
        <v>23.53</v>
      </c>
    </row>
    <row r="1028" spans="1:16" x14ac:dyDescent="0.3">
      <c r="A1028" t="s">
        <v>1040</v>
      </c>
      <c r="B1028" s="3">
        <v>45047</v>
      </c>
      <c r="C1028" s="7" t="str">
        <f t="shared" si="32"/>
        <v>2023</v>
      </c>
      <c r="D1028" s="7" t="str">
        <f t="shared" si="33"/>
        <v>May</v>
      </c>
      <c r="E1028" s="6" t="s">
        <v>2232</v>
      </c>
      <c r="F1028" s="5" t="s">
        <v>2403</v>
      </c>
      <c r="G1028">
        <v>1</v>
      </c>
      <c r="H1028">
        <v>677.48</v>
      </c>
      <c r="I1028" s="6" t="s">
        <v>2521</v>
      </c>
      <c r="J1028" s="6" t="s">
        <v>3066</v>
      </c>
      <c r="K1028" s="6" t="s">
        <v>3073</v>
      </c>
      <c r="L1028" t="s">
        <v>4101</v>
      </c>
      <c r="M1028">
        <v>1</v>
      </c>
      <c r="N1028" t="s">
        <v>4277</v>
      </c>
      <c r="O1028" t="s">
        <v>4281</v>
      </c>
      <c r="P1028">
        <v>677.48</v>
      </c>
    </row>
    <row r="1029" spans="1:16" x14ac:dyDescent="0.3">
      <c r="A1029" t="s">
        <v>1041</v>
      </c>
      <c r="B1029" s="3">
        <v>45433</v>
      </c>
      <c r="C1029" s="7" t="str">
        <f t="shared" si="32"/>
        <v>2024</v>
      </c>
      <c r="D1029" s="7" t="str">
        <f t="shared" si="33"/>
        <v>May</v>
      </c>
      <c r="E1029" s="6" t="s">
        <v>2233</v>
      </c>
      <c r="F1029" s="5" t="s">
        <v>2408</v>
      </c>
      <c r="G1029">
        <v>4</v>
      </c>
      <c r="H1029">
        <v>554.83000000000004</v>
      </c>
      <c r="I1029" s="6" t="s">
        <v>2908</v>
      </c>
      <c r="J1029" s="6" t="s">
        <v>3069</v>
      </c>
      <c r="K1029" s="6" t="s">
        <v>3072</v>
      </c>
      <c r="L1029" t="s">
        <v>4102</v>
      </c>
      <c r="M1029">
        <v>6</v>
      </c>
      <c r="N1029" t="s">
        <v>4285</v>
      </c>
      <c r="O1029" t="s">
        <v>4282</v>
      </c>
      <c r="P1029">
        <v>2219.3200000000002</v>
      </c>
    </row>
    <row r="1030" spans="1:16" x14ac:dyDescent="0.3">
      <c r="A1030" t="s">
        <v>1042</v>
      </c>
      <c r="B1030" s="3">
        <v>44974</v>
      </c>
      <c r="C1030" s="7" t="str">
        <f t="shared" si="32"/>
        <v>2023</v>
      </c>
      <c r="D1030" s="7" t="str">
        <f t="shared" si="33"/>
        <v>Feb</v>
      </c>
      <c r="E1030" s="6" t="s">
        <v>2234</v>
      </c>
      <c r="F1030" s="5" t="s">
        <v>2409</v>
      </c>
      <c r="G1030">
        <v>4</v>
      </c>
      <c r="H1030">
        <v>440.31</v>
      </c>
      <c r="I1030" s="6" t="s">
        <v>2610</v>
      </c>
      <c r="J1030" s="6" t="s">
        <v>3069</v>
      </c>
      <c r="K1030" s="6" t="s">
        <v>3071</v>
      </c>
      <c r="L1030" t="s">
        <v>4103</v>
      </c>
      <c r="M1030">
        <v>6</v>
      </c>
      <c r="N1030" t="s">
        <v>4285</v>
      </c>
      <c r="O1030" t="s">
        <v>4278</v>
      </c>
      <c r="P1030">
        <v>1761.24</v>
      </c>
    </row>
    <row r="1031" spans="1:16" x14ac:dyDescent="0.3">
      <c r="A1031" t="s">
        <v>1043</v>
      </c>
      <c r="B1031" s="3">
        <v>45717</v>
      </c>
      <c r="C1031" s="7" t="str">
        <f t="shared" si="32"/>
        <v>2025</v>
      </c>
      <c r="D1031" s="7" t="str">
        <f t="shared" si="33"/>
        <v>Mar</v>
      </c>
      <c r="E1031" s="6" t="s">
        <v>2235</v>
      </c>
      <c r="F1031" s="5" t="s">
        <v>2409</v>
      </c>
      <c r="G1031">
        <v>1</v>
      </c>
      <c r="H1031">
        <v>87.06</v>
      </c>
      <c r="I1031" s="6" t="s">
        <v>2988</v>
      </c>
      <c r="J1031" s="6" t="s">
        <v>3067</v>
      </c>
      <c r="K1031" s="6" t="s">
        <v>3070</v>
      </c>
      <c r="L1031" t="s">
        <v>4104</v>
      </c>
      <c r="M1031">
        <v>4</v>
      </c>
      <c r="N1031" t="s">
        <v>4276</v>
      </c>
      <c r="O1031" t="s">
        <v>4280</v>
      </c>
      <c r="P1031">
        <v>87.06</v>
      </c>
    </row>
    <row r="1032" spans="1:16" x14ac:dyDescent="0.3">
      <c r="A1032" t="s">
        <v>1044</v>
      </c>
      <c r="B1032" s="3">
        <v>45201</v>
      </c>
      <c r="C1032" s="7" t="str">
        <f t="shared" si="32"/>
        <v>2023</v>
      </c>
      <c r="D1032" s="7" t="str">
        <f t="shared" si="33"/>
        <v>Oct</v>
      </c>
      <c r="E1032" s="6" t="s">
        <v>2236</v>
      </c>
      <c r="F1032" s="5" t="s">
        <v>2404</v>
      </c>
      <c r="G1032">
        <v>4</v>
      </c>
      <c r="H1032">
        <v>245.28</v>
      </c>
      <c r="I1032" s="6" t="s">
        <v>3005</v>
      </c>
      <c r="J1032" s="6" t="s">
        <v>3067</v>
      </c>
      <c r="K1032" s="6" t="s">
        <v>3073</v>
      </c>
      <c r="L1032" t="s">
        <v>4105</v>
      </c>
      <c r="M1032">
        <v>6</v>
      </c>
      <c r="N1032" t="s">
        <v>4277</v>
      </c>
      <c r="O1032" t="s">
        <v>4280</v>
      </c>
      <c r="P1032">
        <v>981.12</v>
      </c>
    </row>
    <row r="1033" spans="1:16" x14ac:dyDescent="0.3">
      <c r="A1033" t="s">
        <v>1045</v>
      </c>
      <c r="B1033" s="3">
        <v>44985</v>
      </c>
      <c r="C1033" s="7" t="str">
        <f t="shared" si="32"/>
        <v>2023</v>
      </c>
      <c r="D1033" s="7" t="str">
        <f t="shared" si="33"/>
        <v>Feb</v>
      </c>
      <c r="E1033" s="6" t="s">
        <v>2237</v>
      </c>
      <c r="F1033" s="5" t="s">
        <v>2404</v>
      </c>
      <c r="G1033">
        <v>5</v>
      </c>
      <c r="H1033">
        <v>664.51</v>
      </c>
      <c r="I1033" s="6" t="s">
        <v>3006</v>
      </c>
      <c r="J1033" s="6" t="s">
        <v>3065</v>
      </c>
      <c r="K1033" s="6" t="s">
        <v>3074</v>
      </c>
      <c r="L1033" t="s">
        <v>4106</v>
      </c>
      <c r="M1033">
        <v>8</v>
      </c>
      <c r="N1033" t="s">
        <v>4275</v>
      </c>
      <c r="O1033" t="s">
        <v>4280</v>
      </c>
      <c r="P1033">
        <v>3322.55</v>
      </c>
    </row>
    <row r="1034" spans="1:16" x14ac:dyDescent="0.3">
      <c r="A1034" t="s">
        <v>1046</v>
      </c>
      <c r="B1034" s="3">
        <v>45036</v>
      </c>
      <c r="C1034" s="7" t="str">
        <f t="shared" si="32"/>
        <v>2023</v>
      </c>
      <c r="D1034" s="7" t="str">
        <f t="shared" si="33"/>
        <v>Apr</v>
      </c>
      <c r="E1034" s="6" t="s">
        <v>2238</v>
      </c>
      <c r="F1034" s="5" t="s">
        <v>2406</v>
      </c>
      <c r="G1034">
        <v>1</v>
      </c>
      <c r="H1034">
        <v>618.67999999999995</v>
      </c>
      <c r="I1034" s="6" t="s">
        <v>2653</v>
      </c>
      <c r="J1034" s="6" t="s">
        <v>3066</v>
      </c>
      <c r="K1034" s="6" t="s">
        <v>3073</v>
      </c>
      <c r="L1034" t="s">
        <v>4107</v>
      </c>
      <c r="M1034">
        <v>6</v>
      </c>
      <c r="N1034" t="s">
        <v>4277</v>
      </c>
      <c r="O1034" t="s">
        <v>4279</v>
      </c>
      <c r="P1034">
        <v>618.67999999999995</v>
      </c>
    </row>
    <row r="1035" spans="1:16" x14ac:dyDescent="0.3">
      <c r="A1035" t="s">
        <v>1047</v>
      </c>
      <c r="B1035" s="3">
        <v>45650</v>
      </c>
      <c r="C1035" s="7" t="str">
        <f t="shared" si="32"/>
        <v>2024</v>
      </c>
      <c r="D1035" s="7" t="str">
        <f t="shared" si="33"/>
        <v>Dec</v>
      </c>
      <c r="E1035" s="6" t="s">
        <v>2239</v>
      </c>
      <c r="F1035" s="5" t="s">
        <v>2403</v>
      </c>
      <c r="G1035">
        <v>1</v>
      </c>
      <c r="H1035">
        <v>370.85</v>
      </c>
      <c r="I1035" s="6" t="s">
        <v>3007</v>
      </c>
      <c r="J1035" s="6" t="s">
        <v>3068</v>
      </c>
      <c r="K1035" s="6" t="s">
        <v>3073</v>
      </c>
      <c r="L1035" t="s">
        <v>4108</v>
      </c>
      <c r="M1035">
        <v>2</v>
      </c>
      <c r="N1035" t="s">
        <v>4276</v>
      </c>
      <c r="O1035" t="s">
        <v>4279</v>
      </c>
      <c r="P1035">
        <v>370.85</v>
      </c>
    </row>
    <row r="1036" spans="1:16" x14ac:dyDescent="0.3">
      <c r="A1036" t="s">
        <v>1048</v>
      </c>
      <c r="B1036" s="3">
        <v>45459</v>
      </c>
      <c r="C1036" s="7" t="str">
        <f t="shared" si="32"/>
        <v>2024</v>
      </c>
      <c r="D1036" s="7" t="str">
        <f t="shared" si="33"/>
        <v>Jun</v>
      </c>
      <c r="E1036" s="6" t="s">
        <v>2240</v>
      </c>
      <c r="F1036" s="5" t="s">
        <v>2407</v>
      </c>
      <c r="G1036">
        <v>4</v>
      </c>
      <c r="H1036">
        <v>517.98</v>
      </c>
      <c r="I1036" s="6" t="s">
        <v>3008</v>
      </c>
      <c r="J1036" s="6" t="s">
        <v>3069</v>
      </c>
      <c r="K1036" s="6" t="s">
        <v>3071</v>
      </c>
      <c r="L1036" t="s">
        <v>4109</v>
      </c>
      <c r="M1036">
        <v>8</v>
      </c>
      <c r="N1036" t="s">
        <v>4276</v>
      </c>
      <c r="O1036" t="s">
        <v>4281</v>
      </c>
      <c r="P1036">
        <v>2071.92</v>
      </c>
    </row>
    <row r="1037" spans="1:16" x14ac:dyDescent="0.3">
      <c r="A1037" t="s">
        <v>1049</v>
      </c>
      <c r="B1037" s="3">
        <v>45242</v>
      </c>
      <c r="C1037" s="7" t="str">
        <f t="shared" si="32"/>
        <v>2023</v>
      </c>
      <c r="D1037" s="7" t="str">
        <f t="shared" si="33"/>
        <v>Nov</v>
      </c>
      <c r="E1037" s="6" t="s">
        <v>2241</v>
      </c>
      <c r="F1037" s="5" t="s">
        <v>2408</v>
      </c>
      <c r="G1037">
        <v>4</v>
      </c>
      <c r="H1037">
        <v>506.11</v>
      </c>
      <c r="I1037" s="6" t="s">
        <v>3009</v>
      </c>
      <c r="J1037" s="6" t="s">
        <v>3069</v>
      </c>
      <c r="K1037" s="6" t="s">
        <v>3071</v>
      </c>
      <c r="L1037" t="s">
        <v>4110</v>
      </c>
      <c r="M1037">
        <v>5</v>
      </c>
      <c r="N1037" t="s">
        <v>4285</v>
      </c>
      <c r="O1037" t="s">
        <v>4279</v>
      </c>
      <c r="P1037">
        <v>2024.44</v>
      </c>
    </row>
    <row r="1038" spans="1:16" x14ac:dyDescent="0.3">
      <c r="A1038" t="s">
        <v>1050</v>
      </c>
      <c r="B1038" s="3">
        <v>45443</v>
      </c>
      <c r="C1038" s="7" t="str">
        <f t="shared" si="32"/>
        <v>2024</v>
      </c>
      <c r="D1038" s="7" t="str">
        <f t="shared" si="33"/>
        <v>May</v>
      </c>
      <c r="E1038" s="6" t="s">
        <v>2242</v>
      </c>
      <c r="F1038" s="5" t="s">
        <v>2404</v>
      </c>
      <c r="G1038">
        <v>3</v>
      </c>
      <c r="H1038">
        <v>413.83</v>
      </c>
      <c r="I1038" s="6" t="s">
        <v>2474</v>
      </c>
      <c r="J1038" s="6" t="s">
        <v>3068</v>
      </c>
      <c r="K1038" s="6" t="s">
        <v>3070</v>
      </c>
      <c r="L1038" t="s">
        <v>4111</v>
      </c>
      <c r="M1038">
        <v>8</v>
      </c>
      <c r="N1038" t="s">
        <v>4275</v>
      </c>
      <c r="O1038" t="s">
        <v>4281</v>
      </c>
      <c r="P1038">
        <v>1241.49</v>
      </c>
    </row>
    <row r="1039" spans="1:16" x14ac:dyDescent="0.3">
      <c r="A1039" t="s">
        <v>1051</v>
      </c>
      <c r="B1039" s="3">
        <v>45273</v>
      </c>
      <c r="C1039" s="7" t="str">
        <f t="shared" si="32"/>
        <v>2023</v>
      </c>
      <c r="D1039" s="7" t="str">
        <f t="shared" si="33"/>
        <v>Dec</v>
      </c>
      <c r="E1039" s="6" t="s">
        <v>2243</v>
      </c>
      <c r="F1039" s="5" t="s">
        <v>2407</v>
      </c>
      <c r="G1039">
        <v>1</v>
      </c>
      <c r="H1039">
        <v>249.81</v>
      </c>
      <c r="I1039" s="6" t="s">
        <v>2875</v>
      </c>
      <c r="J1039" s="6" t="s">
        <v>3069</v>
      </c>
      <c r="K1039" s="6" t="s">
        <v>3074</v>
      </c>
      <c r="L1039" t="s">
        <v>4112</v>
      </c>
      <c r="M1039">
        <v>1</v>
      </c>
      <c r="N1039" t="s">
        <v>4275</v>
      </c>
      <c r="O1039" t="s">
        <v>4282</v>
      </c>
      <c r="P1039">
        <v>249.81</v>
      </c>
    </row>
    <row r="1040" spans="1:16" x14ac:dyDescent="0.3">
      <c r="A1040" t="s">
        <v>1052</v>
      </c>
      <c r="B1040" s="3">
        <v>45731</v>
      </c>
      <c r="C1040" s="7" t="str">
        <f t="shared" si="32"/>
        <v>2025</v>
      </c>
      <c r="D1040" s="7" t="str">
        <f t="shared" si="33"/>
        <v>Mar</v>
      </c>
      <c r="E1040" s="6" t="s">
        <v>2244</v>
      </c>
      <c r="F1040" s="5" t="s">
        <v>2405</v>
      </c>
      <c r="G1040">
        <v>3</v>
      </c>
      <c r="H1040">
        <v>362.53</v>
      </c>
      <c r="I1040" s="6" t="s">
        <v>3010</v>
      </c>
      <c r="J1040" s="6" t="s">
        <v>3065</v>
      </c>
      <c r="K1040" s="6" t="s">
        <v>3072</v>
      </c>
      <c r="L1040" t="s">
        <v>4113</v>
      </c>
      <c r="M1040">
        <v>5</v>
      </c>
      <c r="N1040" t="s">
        <v>4285</v>
      </c>
      <c r="O1040" t="s">
        <v>4281</v>
      </c>
      <c r="P1040">
        <v>1087.5899999999999</v>
      </c>
    </row>
    <row r="1041" spans="1:16" x14ac:dyDescent="0.3">
      <c r="A1041" t="s">
        <v>1053</v>
      </c>
      <c r="B1041" s="3">
        <v>45836</v>
      </c>
      <c r="C1041" s="7" t="str">
        <f t="shared" si="32"/>
        <v>2025</v>
      </c>
      <c r="D1041" s="7" t="str">
        <f t="shared" si="33"/>
        <v>Jun</v>
      </c>
      <c r="E1041" s="6" t="s">
        <v>2245</v>
      </c>
      <c r="F1041" s="5" t="s">
        <v>2409</v>
      </c>
      <c r="G1041">
        <v>2</v>
      </c>
      <c r="H1041">
        <v>299.23</v>
      </c>
      <c r="I1041" s="6" t="s">
        <v>3011</v>
      </c>
      <c r="J1041" s="6" t="s">
        <v>3067</v>
      </c>
      <c r="K1041" s="6" t="s">
        <v>3071</v>
      </c>
      <c r="L1041" t="s">
        <v>4114</v>
      </c>
      <c r="M1041">
        <v>2</v>
      </c>
      <c r="N1041" t="s">
        <v>4277</v>
      </c>
      <c r="O1041" t="s">
        <v>4278</v>
      </c>
      <c r="P1041">
        <v>598.46</v>
      </c>
    </row>
    <row r="1042" spans="1:16" x14ac:dyDescent="0.3">
      <c r="A1042" t="s">
        <v>1054</v>
      </c>
      <c r="B1042" s="3">
        <v>45245</v>
      </c>
      <c r="C1042" s="7" t="str">
        <f t="shared" si="32"/>
        <v>2023</v>
      </c>
      <c r="D1042" s="7" t="str">
        <f t="shared" si="33"/>
        <v>Nov</v>
      </c>
      <c r="E1042" s="6" t="s">
        <v>2246</v>
      </c>
      <c r="F1042" s="5" t="s">
        <v>2405</v>
      </c>
      <c r="G1042">
        <v>1</v>
      </c>
      <c r="H1042">
        <v>536.07000000000005</v>
      </c>
      <c r="I1042" s="6" t="s">
        <v>2817</v>
      </c>
      <c r="J1042" s="6" t="s">
        <v>3065</v>
      </c>
      <c r="K1042" s="6" t="s">
        <v>3073</v>
      </c>
      <c r="L1042" t="s">
        <v>4115</v>
      </c>
      <c r="M1042">
        <v>5</v>
      </c>
      <c r="N1042" t="s">
        <v>4276</v>
      </c>
      <c r="O1042" t="s">
        <v>4282</v>
      </c>
      <c r="P1042">
        <v>536.07000000000005</v>
      </c>
    </row>
    <row r="1043" spans="1:16" x14ac:dyDescent="0.3">
      <c r="A1043" t="s">
        <v>1055</v>
      </c>
      <c r="B1043" s="3">
        <v>44968</v>
      </c>
      <c r="C1043" s="7" t="str">
        <f t="shared" si="32"/>
        <v>2023</v>
      </c>
      <c r="D1043" s="7" t="str">
        <f t="shared" si="33"/>
        <v>Feb</v>
      </c>
      <c r="E1043" s="6" t="s">
        <v>2247</v>
      </c>
      <c r="F1043" s="5" t="s">
        <v>2403</v>
      </c>
      <c r="G1043">
        <v>4</v>
      </c>
      <c r="H1043">
        <v>558.9</v>
      </c>
      <c r="I1043" s="6" t="s">
        <v>2608</v>
      </c>
      <c r="J1043" s="6" t="s">
        <v>3068</v>
      </c>
      <c r="K1043" s="6" t="s">
        <v>3070</v>
      </c>
      <c r="L1043" t="s">
        <v>4116</v>
      </c>
      <c r="M1043">
        <v>9</v>
      </c>
      <c r="N1043" t="s">
        <v>4277</v>
      </c>
      <c r="O1043" t="s">
        <v>4282</v>
      </c>
      <c r="P1043">
        <v>2235.6</v>
      </c>
    </row>
    <row r="1044" spans="1:16" x14ac:dyDescent="0.3">
      <c r="A1044" t="s">
        <v>1056</v>
      </c>
      <c r="B1044" s="3">
        <v>45635</v>
      </c>
      <c r="C1044" s="7" t="str">
        <f t="shared" si="32"/>
        <v>2024</v>
      </c>
      <c r="D1044" s="7" t="str">
        <f t="shared" si="33"/>
        <v>Dec</v>
      </c>
      <c r="E1044" s="6" t="s">
        <v>2248</v>
      </c>
      <c r="F1044" s="5" t="s">
        <v>2405</v>
      </c>
      <c r="G1044">
        <v>2</v>
      </c>
      <c r="H1044">
        <v>409.75</v>
      </c>
      <c r="I1044" s="6" t="s">
        <v>2681</v>
      </c>
      <c r="J1044" s="6" t="s">
        <v>3065</v>
      </c>
      <c r="K1044" s="6" t="s">
        <v>3070</v>
      </c>
      <c r="L1044" t="s">
        <v>4117</v>
      </c>
      <c r="M1044">
        <v>2</v>
      </c>
      <c r="N1044" t="s">
        <v>4277</v>
      </c>
      <c r="O1044" t="s">
        <v>4281</v>
      </c>
      <c r="P1044">
        <v>819.5</v>
      </c>
    </row>
    <row r="1045" spans="1:16" x14ac:dyDescent="0.3">
      <c r="A1045" t="s">
        <v>1057</v>
      </c>
      <c r="B1045" s="3">
        <v>45668</v>
      </c>
      <c r="C1045" s="7" t="str">
        <f t="shared" si="32"/>
        <v>2025</v>
      </c>
      <c r="D1045" s="7" t="str">
        <f t="shared" si="33"/>
        <v>Jan</v>
      </c>
      <c r="E1045" s="6" t="s">
        <v>2249</v>
      </c>
      <c r="F1045" s="5" t="s">
        <v>2405</v>
      </c>
      <c r="G1045">
        <v>2</v>
      </c>
      <c r="H1045">
        <v>179.96</v>
      </c>
      <c r="I1045" s="6" t="s">
        <v>2991</v>
      </c>
      <c r="J1045" s="6" t="s">
        <v>3068</v>
      </c>
      <c r="K1045" s="6" t="s">
        <v>3070</v>
      </c>
      <c r="L1045" t="s">
        <v>4118</v>
      </c>
      <c r="M1045">
        <v>5</v>
      </c>
      <c r="N1045" t="s">
        <v>4285</v>
      </c>
      <c r="O1045" t="s">
        <v>4278</v>
      </c>
      <c r="P1045">
        <v>359.92</v>
      </c>
    </row>
    <row r="1046" spans="1:16" x14ac:dyDescent="0.3">
      <c r="A1046" t="s">
        <v>1058</v>
      </c>
      <c r="B1046" s="3">
        <v>45830</v>
      </c>
      <c r="C1046" s="7" t="str">
        <f t="shared" si="32"/>
        <v>2025</v>
      </c>
      <c r="D1046" s="7" t="str">
        <f t="shared" si="33"/>
        <v>Jun</v>
      </c>
      <c r="E1046" s="6" t="s">
        <v>2250</v>
      </c>
      <c r="F1046" s="5" t="s">
        <v>2407</v>
      </c>
      <c r="G1046">
        <v>1</v>
      </c>
      <c r="H1046">
        <v>38.49</v>
      </c>
      <c r="I1046" s="6" t="s">
        <v>3012</v>
      </c>
      <c r="J1046" s="6" t="s">
        <v>3067</v>
      </c>
      <c r="K1046" s="6" t="s">
        <v>3073</v>
      </c>
      <c r="L1046" t="s">
        <v>4119</v>
      </c>
      <c r="M1046">
        <v>4</v>
      </c>
      <c r="N1046" t="s">
        <v>4276</v>
      </c>
      <c r="O1046" t="s">
        <v>4279</v>
      </c>
      <c r="P1046">
        <v>38.49</v>
      </c>
    </row>
    <row r="1047" spans="1:16" x14ac:dyDescent="0.3">
      <c r="A1047" t="s">
        <v>1059</v>
      </c>
      <c r="B1047" s="3">
        <v>45555</v>
      </c>
      <c r="C1047" s="7" t="str">
        <f t="shared" si="32"/>
        <v>2024</v>
      </c>
      <c r="D1047" s="7" t="str">
        <f t="shared" si="33"/>
        <v>Sept</v>
      </c>
      <c r="E1047" s="6" t="s">
        <v>2251</v>
      </c>
      <c r="F1047" s="5" t="s">
        <v>2408</v>
      </c>
      <c r="G1047">
        <v>5</v>
      </c>
      <c r="H1047">
        <v>316.39999999999998</v>
      </c>
      <c r="I1047" s="6" t="s">
        <v>3013</v>
      </c>
      <c r="J1047" s="6" t="s">
        <v>3068</v>
      </c>
      <c r="K1047" s="6" t="s">
        <v>3072</v>
      </c>
      <c r="L1047" t="s">
        <v>4120</v>
      </c>
      <c r="M1047">
        <v>7</v>
      </c>
      <c r="N1047" t="s">
        <v>4285</v>
      </c>
      <c r="O1047" t="s">
        <v>4280</v>
      </c>
      <c r="P1047">
        <v>1582</v>
      </c>
    </row>
    <row r="1048" spans="1:16" x14ac:dyDescent="0.3">
      <c r="A1048" t="s">
        <v>1060</v>
      </c>
      <c r="B1048" s="3">
        <v>45572</v>
      </c>
      <c r="C1048" s="7" t="str">
        <f t="shared" si="32"/>
        <v>2024</v>
      </c>
      <c r="D1048" s="7" t="str">
        <f t="shared" si="33"/>
        <v>Oct</v>
      </c>
      <c r="E1048" s="6" t="s">
        <v>2252</v>
      </c>
      <c r="F1048" s="5" t="s">
        <v>2405</v>
      </c>
      <c r="G1048">
        <v>3</v>
      </c>
      <c r="H1048">
        <v>547.15</v>
      </c>
      <c r="I1048" s="6" t="s">
        <v>3014</v>
      </c>
      <c r="J1048" s="6" t="s">
        <v>3066</v>
      </c>
      <c r="K1048" s="6" t="s">
        <v>3070</v>
      </c>
      <c r="L1048" t="s">
        <v>4121</v>
      </c>
      <c r="M1048">
        <v>4</v>
      </c>
      <c r="N1048" t="s">
        <v>4277</v>
      </c>
      <c r="O1048" t="s">
        <v>4278</v>
      </c>
      <c r="P1048">
        <v>1641.45</v>
      </c>
    </row>
    <row r="1049" spans="1:16" x14ac:dyDescent="0.3">
      <c r="A1049" t="s">
        <v>1061</v>
      </c>
      <c r="B1049" s="3">
        <v>45100</v>
      </c>
      <c r="C1049" s="7" t="str">
        <f t="shared" si="32"/>
        <v>2023</v>
      </c>
      <c r="D1049" s="7" t="str">
        <f t="shared" si="33"/>
        <v>Jun</v>
      </c>
      <c r="E1049" s="6" t="s">
        <v>2253</v>
      </c>
      <c r="F1049" s="5" t="s">
        <v>2406</v>
      </c>
      <c r="G1049">
        <v>4</v>
      </c>
      <c r="H1049">
        <v>540.34</v>
      </c>
      <c r="I1049" s="6" t="s">
        <v>3015</v>
      </c>
      <c r="J1049" s="6" t="s">
        <v>3068</v>
      </c>
      <c r="K1049" s="6" t="s">
        <v>3070</v>
      </c>
      <c r="L1049" t="s">
        <v>4122</v>
      </c>
      <c r="M1049">
        <v>6</v>
      </c>
      <c r="N1049" t="s">
        <v>4277</v>
      </c>
      <c r="O1049" t="s">
        <v>4279</v>
      </c>
      <c r="P1049">
        <v>2161.36</v>
      </c>
    </row>
    <row r="1050" spans="1:16" x14ac:dyDescent="0.3">
      <c r="A1050" t="s">
        <v>1062</v>
      </c>
      <c r="B1050" s="3">
        <v>45544</v>
      </c>
      <c r="C1050" s="7" t="str">
        <f t="shared" si="32"/>
        <v>2024</v>
      </c>
      <c r="D1050" s="7" t="str">
        <f t="shared" si="33"/>
        <v>Sept</v>
      </c>
      <c r="E1050" s="6" t="s">
        <v>2254</v>
      </c>
      <c r="F1050" s="5" t="s">
        <v>2403</v>
      </c>
      <c r="G1050">
        <v>4</v>
      </c>
      <c r="H1050">
        <v>73.650000000000006</v>
      </c>
      <c r="I1050" s="6" t="s">
        <v>3016</v>
      </c>
      <c r="J1050" s="6" t="s">
        <v>3065</v>
      </c>
      <c r="K1050" s="6" t="s">
        <v>3070</v>
      </c>
      <c r="L1050" t="s">
        <v>4123</v>
      </c>
      <c r="M1050">
        <v>9</v>
      </c>
      <c r="N1050" t="s">
        <v>4285</v>
      </c>
      <c r="O1050" t="s">
        <v>4282</v>
      </c>
      <c r="P1050">
        <v>294.60000000000002</v>
      </c>
    </row>
    <row r="1051" spans="1:16" x14ac:dyDescent="0.3">
      <c r="A1051" t="s">
        <v>1063</v>
      </c>
      <c r="B1051" s="3">
        <v>45491</v>
      </c>
      <c r="C1051" s="7" t="str">
        <f t="shared" si="32"/>
        <v>2024</v>
      </c>
      <c r="D1051" s="7" t="str">
        <f t="shared" si="33"/>
        <v>Jul</v>
      </c>
      <c r="E1051" s="6" t="s">
        <v>2255</v>
      </c>
      <c r="F1051" s="5" t="s">
        <v>2409</v>
      </c>
      <c r="G1051">
        <v>5</v>
      </c>
      <c r="H1051">
        <v>391.86</v>
      </c>
      <c r="I1051" s="6" t="s">
        <v>2430</v>
      </c>
      <c r="J1051" s="6" t="s">
        <v>3067</v>
      </c>
      <c r="K1051" s="6" t="s">
        <v>3070</v>
      </c>
      <c r="L1051" t="s">
        <v>4124</v>
      </c>
      <c r="M1051">
        <v>6</v>
      </c>
      <c r="N1051" t="s">
        <v>4285</v>
      </c>
      <c r="O1051" t="s">
        <v>4278</v>
      </c>
      <c r="P1051">
        <v>1959.3</v>
      </c>
    </row>
    <row r="1052" spans="1:16" x14ac:dyDescent="0.3">
      <c r="A1052" t="s">
        <v>1064</v>
      </c>
      <c r="B1052" s="3">
        <v>45158</v>
      </c>
      <c r="C1052" s="7" t="str">
        <f t="shared" si="32"/>
        <v>2023</v>
      </c>
      <c r="D1052" s="7" t="str">
        <f t="shared" si="33"/>
        <v>Aug</v>
      </c>
      <c r="E1052" s="6" t="s">
        <v>2256</v>
      </c>
      <c r="F1052" s="5" t="s">
        <v>2408</v>
      </c>
      <c r="G1052">
        <v>5</v>
      </c>
      <c r="H1052">
        <v>69.7</v>
      </c>
      <c r="I1052" s="6" t="s">
        <v>2805</v>
      </c>
      <c r="J1052" s="6" t="s">
        <v>3066</v>
      </c>
      <c r="K1052" s="6" t="s">
        <v>3072</v>
      </c>
      <c r="L1052" t="s">
        <v>4125</v>
      </c>
      <c r="M1052">
        <v>9</v>
      </c>
      <c r="N1052" t="s">
        <v>4285</v>
      </c>
      <c r="O1052" t="s">
        <v>4278</v>
      </c>
      <c r="P1052">
        <v>348.5</v>
      </c>
    </row>
    <row r="1053" spans="1:16" x14ac:dyDescent="0.3">
      <c r="A1053" t="s">
        <v>1065</v>
      </c>
      <c r="B1053" s="3">
        <v>45721</v>
      </c>
      <c r="C1053" s="7" t="str">
        <f t="shared" si="32"/>
        <v>2025</v>
      </c>
      <c r="D1053" s="7" t="str">
        <f t="shared" si="33"/>
        <v>Mar</v>
      </c>
      <c r="E1053" s="6" t="s">
        <v>2257</v>
      </c>
      <c r="F1053" s="5" t="s">
        <v>2403</v>
      </c>
      <c r="G1053">
        <v>5</v>
      </c>
      <c r="H1053">
        <v>26.43</v>
      </c>
      <c r="I1053" s="6" t="s">
        <v>3017</v>
      </c>
      <c r="J1053" s="6" t="s">
        <v>3068</v>
      </c>
      <c r="K1053" s="6" t="s">
        <v>3070</v>
      </c>
      <c r="L1053" t="s">
        <v>4126</v>
      </c>
      <c r="M1053">
        <v>5</v>
      </c>
      <c r="N1053" t="s">
        <v>4276</v>
      </c>
      <c r="O1053" t="s">
        <v>4281</v>
      </c>
      <c r="P1053">
        <v>132.15</v>
      </c>
    </row>
    <row r="1054" spans="1:16" x14ac:dyDescent="0.3">
      <c r="A1054" t="s">
        <v>1066</v>
      </c>
      <c r="B1054" s="3">
        <v>45180</v>
      </c>
      <c r="C1054" s="7" t="str">
        <f t="shared" si="32"/>
        <v>2023</v>
      </c>
      <c r="D1054" s="7" t="str">
        <f t="shared" si="33"/>
        <v>Sept</v>
      </c>
      <c r="E1054" s="6" t="s">
        <v>2258</v>
      </c>
      <c r="F1054" s="5" t="s">
        <v>2405</v>
      </c>
      <c r="G1054">
        <v>1</v>
      </c>
      <c r="H1054">
        <v>531.74</v>
      </c>
      <c r="I1054" s="6" t="s">
        <v>3018</v>
      </c>
      <c r="J1054" s="6" t="s">
        <v>3066</v>
      </c>
      <c r="K1054" s="6" t="s">
        <v>3070</v>
      </c>
      <c r="L1054" t="s">
        <v>4127</v>
      </c>
      <c r="M1054">
        <v>1</v>
      </c>
      <c r="N1054" t="s">
        <v>4277</v>
      </c>
      <c r="O1054" t="s">
        <v>4282</v>
      </c>
      <c r="P1054">
        <v>531.74</v>
      </c>
    </row>
    <row r="1055" spans="1:16" x14ac:dyDescent="0.3">
      <c r="A1055" t="s">
        <v>1067</v>
      </c>
      <c r="B1055" s="3">
        <v>45550</v>
      </c>
      <c r="C1055" s="7" t="str">
        <f t="shared" si="32"/>
        <v>2024</v>
      </c>
      <c r="D1055" s="7" t="str">
        <f t="shared" si="33"/>
        <v>Sept</v>
      </c>
      <c r="E1055" s="6" t="s">
        <v>2259</v>
      </c>
      <c r="F1055" s="5" t="s">
        <v>2404</v>
      </c>
      <c r="G1055">
        <v>2</v>
      </c>
      <c r="H1055">
        <v>496.62</v>
      </c>
      <c r="I1055" s="6" t="s">
        <v>2984</v>
      </c>
      <c r="J1055" s="6" t="s">
        <v>3066</v>
      </c>
      <c r="K1055" s="6" t="s">
        <v>3074</v>
      </c>
      <c r="L1055" t="s">
        <v>4128</v>
      </c>
      <c r="M1055">
        <v>2</v>
      </c>
      <c r="N1055" t="s">
        <v>4275</v>
      </c>
      <c r="O1055" t="s">
        <v>4278</v>
      </c>
      <c r="P1055">
        <v>993.24</v>
      </c>
    </row>
    <row r="1056" spans="1:16" x14ac:dyDescent="0.3">
      <c r="A1056" t="s">
        <v>1068</v>
      </c>
      <c r="B1056" s="3">
        <v>45259</v>
      </c>
      <c r="C1056" s="7" t="str">
        <f t="shared" si="32"/>
        <v>2023</v>
      </c>
      <c r="D1056" s="7" t="str">
        <f t="shared" si="33"/>
        <v>Nov</v>
      </c>
      <c r="E1056" s="6" t="s">
        <v>2260</v>
      </c>
      <c r="F1056" s="5" t="s">
        <v>2407</v>
      </c>
      <c r="G1056">
        <v>1</v>
      </c>
      <c r="H1056">
        <v>660.66</v>
      </c>
      <c r="I1056" s="6" t="s">
        <v>2490</v>
      </c>
      <c r="J1056" s="6" t="s">
        <v>3065</v>
      </c>
      <c r="K1056" s="6" t="s">
        <v>3073</v>
      </c>
      <c r="L1056" t="s">
        <v>4129</v>
      </c>
      <c r="M1056">
        <v>3</v>
      </c>
      <c r="N1056" t="s">
        <v>4277</v>
      </c>
      <c r="O1056" t="s">
        <v>4278</v>
      </c>
      <c r="P1056">
        <v>660.66</v>
      </c>
    </row>
    <row r="1057" spans="1:16" x14ac:dyDescent="0.3">
      <c r="A1057" t="s">
        <v>1069</v>
      </c>
      <c r="B1057" s="3">
        <v>45222</v>
      </c>
      <c r="C1057" s="7" t="str">
        <f t="shared" si="32"/>
        <v>2023</v>
      </c>
      <c r="D1057" s="7" t="str">
        <f t="shared" si="33"/>
        <v>Oct</v>
      </c>
      <c r="E1057" s="6" t="s">
        <v>2261</v>
      </c>
      <c r="F1057" s="5" t="s">
        <v>2403</v>
      </c>
      <c r="G1057">
        <v>4</v>
      </c>
      <c r="H1057">
        <v>274.82</v>
      </c>
      <c r="I1057" s="6" t="s">
        <v>2817</v>
      </c>
      <c r="J1057" s="6" t="s">
        <v>3065</v>
      </c>
      <c r="K1057" s="6" t="s">
        <v>3073</v>
      </c>
      <c r="L1057" t="s">
        <v>4130</v>
      </c>
      <c r="M1057">
        <v>9</v>
      </c>
      <c r="N1057" t="s">
        <v>4277</v>
      </c>
      <c r="O1057" t="s">
        <v>4280</v>
      </c>
      <c r="P1057">
        <v>1099.28</v>
      </c>
    </row>
    <row r="1058" spans="1:16" x14ac:dyDescent="0.3">
      <c r="A1058" t="s">
        <v>1070</v>
      </c>
      <c r="B1058" s="3">
        <v>45457</v>
      </c>
      <c r="C1058" s="7" t="str">
        <f t="shared" si="32"/>
        <v>2024</v>
      </c>
      <c r="D1058" s="7" t="str">
        <f t="shared" si="33"/>
        <v>Jun</v>
      </c>
      <c r="E1058" s="6" t="s">
        <v>2262</v>
      </c>
      <c r="F1058" s="5" t="s">
        <v>2404</v>
      </c>
      <c r="G1058">
        <v>2</v>
      </c>
      <c r="H1058">
        <v>486.35</v>
      </c>
      <c r="I1058" s="6" t="s">
        <v>2566</v>
      </c>
      <c r="J1058" s="6" t="s">
        <v>3066</v>
      </c>
      <c r="K1058" s="6" t="s">
        <v>3074</v>
      </c>
      <c r="L1058" t="s">
        <v>4131</v>
      </c>
      <c r="M1058">
        <v>6</v>
      </c>
      <c r="N1058" t="s">
        <v>4275</v>
      </c>
      <c r="O1058" t="s">
        <v>4279</v>
      </c>
      <c r="P1058">
        <v>972.7</v>
      </c>
    </row>
    <row r="1059" spans="1:16" x14ac:dyDescent="0.3">
      <c r="A1059" t="s">
        <v>1071</v>
      </c>
      <c r="B1059" s="3">
        <v>45559</v>
      </c>
      <c r="C1059" s="7" t="str">
        <f t="shared" si="32"/>
        <v>2024</v>
      </c>
      <c r="D1059" s="7" t="str">
        <f t="shared" si="33"/>
        <v>Sept</v>
      </c>
      <c r="E1059" s="6" t="s">
        <v>2263</v>
      </c>
      <c r="F1059" s="5" t="s">
        <v>2408</v>
      </c>
      <c r="G1059">
        <v>3</v>
      </c>
      <c r="H1059">
        <v>428.88</v>
      </c>
      <c r="I1059" s="6" t="s">
        <v>2563</v>
      </c>
      <c r="J1059" s="6" t="s">
        <v>3065</v>
      </c>
      <c r="K1059" s="6" t="s">
        <v>3070</v>
      </c>
      <c r="L1059" t="s">
        <v>4132</v>
      </c>
      <c r="M1059">
        <v>3</v>
      </c>
      <c r="N1059" t="s">
        <v>4277</v>
      </c>
      <c r="O1059" t="s">
        <v>4281</v>
      </c>
      <c r="P1059">
        <v>1286.6400000000001</v>
      </c>
    </row>
    <row r="1060" spans="1:16" x14ac:dyDescent="0.3">
      <c r="A1060" t="s">
        <v>1072</v>
      </c>
      <c r="B1060" s="3">
        <v>45177</v>
      </c>
      <c r="C1060" s="7" t="str">
        <f t="shared" si="32"/>
        <v>2023</v>
      </c>
      <c r="D1060" s="7" t="str">
        <f t="shared" si="33"/>
        <v>Sept</v>
      </c>
      <c r="E1060" s="6" t="s">
        <v>2264</v>
      </c>
      <c r="F1060" s="5" t="s">
        <v>2409</v>
      </c>
      <c r="G1060">
        <v>2</v>
      </c>
      <c r="H1060">
        <v>412.14</v>
      </c>
      <c r="I1060" s="6" t="s">
        <v>2640</v>
      </c>
      <c r="J1060" s="6" t="s">
        <v>3067</v>
      </c>
      <c r="K1060" s="6" t="s">
        <v>3072</v>
      </c>
      <c r="L1060" t="s">
        <v>4133</v>
      </c>
      <c r="M1060">
        <v>2</v>
      </c>
      <c r="N1060" t="s">
        <v>4276</v>
      </c>
      <c r="O1060" t="s">
        <v>4278</v>
      </c>
      <c r="P1060">
        <v>824.28</v>
      </c>
    </row>
    <row r="1061" spans="1:16" x14ac:dyDescent="0.3">
      <c r="A1061" t="s">
        <v>1073</v>
      </c>
      <c r="B1061" s="3">
        <v>45557</v>
      </c>
      <c r="C1061" s="7" t="str">
        <f t="shared" si="32"/>
        <v>2024</v>
      </c>
      <c r="D1061" s="7" t="str">
        <f t="shared" si="33"/>
        <v>Sept</v>
      </c>
      <c r="E1061" s="6" t="s">
        <v>2265</v>
      </c>
      <c r="F1061" s="5" t="s">
        <v>2409</v>
      </c>
      <c r="G1061">
        <v>1</v>
      </c>
      <c r="H1061">
        <v>265.64</v>
      </c>
      <c r="I1061" s="6" t="s">
        <v>3019</v>
      </c>
      <c r="J1061" s="6" t="s">
        <v>3067</v>
      </c>
      <c r="K1061" s="6" t="s">
        <v>3072</v>
      </c>
      <c r="L1061" t="s">
        <v>4134</v>
      </c>
      <c r="M1061">
        <v>3</v>
      </c>
      <c r="N1061" t="s">
        <v>4277</v>
      </c>
      <c r="O1061" t="s">
        <v>4278</v>
      </c>
      <c r="P1061">
        <v>265.64</v>
      </c>
    </row>
    <row r="1062" spans="1:16" x14ac:dyDescent="0.3">
      <c r="A1062" t="s">
        <v>1074</v>
      </c>
      <c r="B1062" s="3">
        <v>45419</v>
      </c>
      <c r="C1062" s="7" t="str">
        <f t="shared" si="32"/>
        <v>2024</v>
      </c>
      <c r="D1062" s="7" t="str">
        <f t="shared" si="33"/>
        <v>May</v>
      </c>
      <c r="E1062" s="6" t="s">
        <v>2266</v>
      </c>
      <c r="F1062" s="5" t="s">
        <v>2405</v>
      </c>
      <c r="G1062">
        <v>2</v>
      </c>
      <c r="H1062">
        <v>273.43</v>
      </c>
      <c r="I1062" s="6" t="s">
        <v>2702</v>
      </c>
      <c r="J1062" s="6" t="s">
        <v>3069</v>
      </c>
      <c r="K1062" s="6" t="s">
        <v>3070</v>
      </c>
      <c r="L1062" t="s">
        <v>4135</v>
      </c>
      <c r="M1062">
        <v>7</v>
      </c>
      <c r="N1062" t="s">
        <v>4277</v>
      </c>
      <c r="O1062" t="s">
        <v>4279</v>
      </c>
      <c r="P1062">
        <v>546.86</v>
      </c>
    </row>
    <row r="1063" spans="1:16" x14ac:dyDescent="0.3">
      <c r="A1063" t="s">
        <v>1075</v>
      </c>
      <c r="B1063" s="3">
        <v>45686</v>
      </c>
      <c r="C1063" s="7" t="str">
        <f t="shared" si="32"/>
        <v>2025</v>
      </c>
      <c r="D1063" s="7" t="str">
        <f t="shared" si="33"/>
        <v>Jan</v>
      </c>
      <c r="E1063" s="6" t="s">
        <v>2267</v>
      </c>
      <c r="F1063" s="5" t="s">
        <v>2408</v>
      </c>
      <c r="G1063">
        <v>5</v>
      </c>
      <c r="H1063">
        <v>131.69999999999999</v>
      </c>
      <c r="I1063" s="6" t="s">
        <v>2442</v>
      </c>
      <c r="J1063" s="6" t="s">
        <v>3069</v>
      </c>
      <c r="K1063" s="6" t="s">
        <v>3070</v>
      </c>
      <c r="L1063" t="s">
        <v>4136</v>
      </c>
      <c r="M1063">
        <v>8</v>
      </c>
      <c r="N1063" t="s">
        <v>4276</v>
      </c>
      <c r="O1063" t="s">
        <v>4282</v>
      </c>
      <c r="P1063">
        <v>658.5</v>
      </c>
    </row>
    <row r="1064" spans="1:16" x14ac:dyDescent="0.3">
      <c r="A1064" t="s">
        <v>1076</v>
      </c>
      <c r="B1064" s="3">
        <v>45161</v>
      </c>
      <c r="C1064" s="7" t="str">
        <f t="shared" si="32"/>
        <v>2023</v>
      </c>
      <c r="D1064" s="7" t="str">
        <f t="shared" si="33"/>
        <v>Aug</v>
      </c>
      <c r="E1064" s="6" t="s">
        <v>2268</v>
      </c>
      <c r="F1064" s="5" t="s">
        <v>2406</v>
      </c>
      <c r="G1064">
        <v>5</v>
      </c>
      <c r="H1064">
        <v>85.52</v>
      </c>
      <c r="I1064" s="6" t="s">
        <v>2676</v>
      </c>
      <c r="J1064" s="6" t="s">
        <v>3068</v>
      </c>
      <c r="K1064" s="6" t="s">
        <v>3071</v>
      </c>
      <c r="L1064" t="s">
        <v>4137</v>
      </c>
      <c r="M1064">
        <v>5</v>
      </c>
      <c r="N1064" t="s">
        <v>4285</v>
      </c>
      <c r="O1064" t="s">
        <v>4281</v>
      </c>
      <c r="P1064">
        <v>427.6</v>
      </c>
    </row>
    <row r="1065" spans="1:16" x14ac:dyDescent="0.3">
      <c r="A1065" t="s">
        <v>1077</v>
      </c>
      <c r="B1065" s="3">
        <v>45462</v>
      </c>
      <c r="C1065" s="7" t="str">
        <f t="shared" si="32"/>
        <v>2024</v>
      </c>
      <c r="D1065" s="7" t="str">
        <f t="shared" si="33"/>
        <v>Jun</v>
      </c>
      <c r="E1065" s="6" t="s">
        <v>2269</v>
      </c>
      <c r="F1065" s="5" t="s">
        <v>2409</v>
      </c>
      <c r="G1065">
        <v>2</v>
      </c>
      <c r="H1065">
        <v>320.68</v>
      </c>
      <c r="I1065" s="6" t="s">
        <v>2564</v>
      </c>
      <c r="J1065" s="6" t="s">
        <v>3067</v>
      </c>
      <c r="K1065" s="6" t="s">
        <v>3070</v>
      </c>
      <c r="L1065" t="s">
        <v>4138</v>
      </c>
      <c r="M1065">
        <v>5</v>
      </c>
      <c r="N1065" t="s">
        <v>4276</v>
      </c>
      <c r="O1065" t="s">
        <v>4279</v>
      </c>
      <c r="P1065">
        <v>641.36</v>
      </c>
    </row>
    <row r="1066" spans="1:16" x14ac:dyDescent="0.3">
      <c r="A1066" t="s">
        <v>1078</v>
      </c>
      <c r="B1066" s="3">
        <v>45700</v>
      </c>
      <c r="C1066" s="7" t="str">
        <f t="shared" si="32"/>
        <v>2025</v>
      </c>
      <c r="D1066" s="7" t="str">
        <f t="shared" si="33"/>
        <v>Feb</v>
      </c>
      <c r="E1066" s="6" t="s">
        <v>2270</v>
      </c>
      <c r="F1066" s="5" t="s">
        <v>2408</v>
      </c>
      <c r="G1066">
        <v>4</v>
      </c>
      <c r="H1066">
        <v>198.81</v>
      </c>
      <c r="I1066" s="6" t="s">
        <v>2646</v>
      </c>
      <c r="J1066" s="6" t="s">
        <v>3069</v>
      </c>
      <c r="K1066" s="6" t="s">
        <v>3072</v>
      </c>
      <c r="L1066" t="s">
        <v>4139</v>
      </c>
      <c r="M1066">
        <v>9</v>
      </c>
      <c r="N1066" t="s">
        <v>4276</v>
      </c>
      <c r="O1066" t="s">
        <v>4279</v>
      </c>
      <c r="P1066">
        <v>795.24</v>
      </c>
    </row>
    <row r="1067" spans="1:16" x14ac:dyDescent="0.3">
      <c r="A1067" t="s">
        <v>1079</v>
      </c>
      <c r="B1067" s="3">
        <v>45229</v>
      </c>
      <c r="C1067" s="7" t="str">
        <f t="shared" si="32"/>
        <v>2023</v>
      </c>
      <c r="D1067" s="7" t="str">
        <f t="shared" si="33"/>
        <v>Oct</v>
      </c>
      <c r="E1067" s="6" t="s">
        <v>2271</v>
      </c>
      <c r="F1067" s="5" t="s">
        <v>2407</v>
      </c>
      <c r="G1067">
        <v>5</v>
      </c>
      <c r="H1067">
        <v>666.8</v>
      </c>
      <c r="I1067" s="6" t="s">
        <v>2746</v>
      </c>
      <c r="J1067" s="6" t="s">
        <v>3065</v>
      </c>
      <c r="K1067" s="6" t="s">
        <v>3073</v>
      </c>
      <c r="L1067" t="s">
        <v>4140</v>
      </c>
      <c r="M1067">
        <v>7</v>
      </c>
      <c r="N1067" t="s">
        <v>4275</v>
      </c>
      <c r="O1067" t="s">
        <v>4279</v>
      </c>
      <c r="P1067">
        <v>3334</v>
      </c>
    </row>
    <row r="1068" spans="1:16" x14ac:dyDescent="0.3">
      <c r="A1068" t="s">
        <v>1080</v>
      </c>
      <c r="B1068" s="3">
        <v>45280</v>
      </c>
      <c r="C1068" s="7" t="str">
        <f t="shared" si="32"/>
        <v>2023</v>
      </c>
      <c r="D1068" s="7" t="str">
        <f t="shared" si="33"/>
        <v>Dec</v>
      </c>
      <c r="E1068" s="6" t="s">
        <v>2272</v>
      </c>
      <c r="F1068" s="5" t="s">
        <v>2409</v>
      </c>
      <c r="G1068">
        <v>1</v>
      </c>
      <c r="H1068">
        <v>355.09</v>
      </c>
      <c r="I1068" s="6" t="s">
        <v>2878</v>
      </c>
      <c r="J1068" s="6" t="s">
        <v>3065</v>
      </c>
      <c r="K1068" s="6" t="s">
        <v>3071</v>
      </c>
      <c r="L1068" t="s">
        <v>4141</v>
      </c>
      <c r="M1068">
        <v>5</v>
      </c>
      <c r="N1068" t="s">
        <v>4275</v>
      </c>
      <c r="O1068" t="s">
        <v>4278</v>
      </c>
      <c r="P1068">
        <v>355.09</v>
      </c>
    </row>
    <row r="1069" spans="1:16" x14ac:dyDescent="0.3">
      <c r="A1069" t="s">
        <v>1081</v>
      </c>
      <c r="B1069" s="3">
        <v>45083</v>
      </c>
      <c r="C1069" s="7" t="str">
        <f t="shared" si="32"/>
        <v>2023</v>
      </c>
      <c r="D1069" s="7" t="str">
        <f t="shared" si="33"/>
        <v>Jun</v>
      </c>
      <c r="E1069" s="6" t="s">
        <v>2273</v>
      </c>
      <c r="F1069" s="5" t="s">
        <v>2404</v>
      </c>
      <c r="G1069">
        <v>2</v>
      </c>
      <c r="H1069">
        <v>316.2</v>
      </c>
      <c r="I1069" s="6" t="s">
        <v>2475</v>
      </c>
      <c r="J1069" s="6" t="s">
        <v>3066</v>
      </c>
      <c r="K1069" s="6" t="s">
        <v>3072</v>
      </c>
      <c r="L1069" t="s">
        <v>4142</v>
      </c>
      <c r="M1069">
        <v>2</v>
      </c>
      <c r="N1069" t="s">
        <v>4285</v>
      </c>
      <c r="O1069" t="s">
        <v>4278</v>
      </c>
      <c r="P1069">
        <v>632.4</v>
      </c>
    </row>
    <row r="1070" spans="1:16" x14ac:dyDescent="0.3">
      <c r="A1070" t="s">
        <v>1082</v>
      </c>
      <c r="B1070" s="3">
        <v>45507</v>
      </c>
      <c r="C1070" s="7" t="str">
        <f t="shared" si="32"/>
        <v>2024</v>
      </c>
      <c r="D1070" s="7" t="str">
        <f t="shared" si="33"/>
        <v>Aug</v>
      </c>
      <c r="E1070" s="6" t="s">
        <v>2274</v>
      </c>
      <c r="F1070" s="5" t="s">
        <v>2408</v>
      </c>
      <c r="G1070">
        <v>1</v>
      </c>
      <c r="H1070">
        <v>133.38999999999999</v>
      </c>
      <c r="I1070" s="6" t="s">
        <v>3020</v>
      </c>
      <c r="J1070" s="6" t="s">
        <v>3065</v>
      </c>
      <c r="K1070" s="6" t="s">
        <v>3070</v>
      </c>
      <c r="L1070" t="s">
        <v>4143</v>
      </c>
      <c r="M1070">
        <v>2</v>
      </c>
      <c r="N1070" t="s">
        <v>4275</v>
      </c>
      <c r="O1070" t="s">
        <v>4279</v>
      </c>
      <c r="P1070">
        <v>133.38999999999999</v>
      </c>
    </row>
    <row r="1071" spans="1:16" x14ac:dyDescent="0.3">
      <c r="A1071" t="s">
        <v>1083</v>
      </c>
      <c r="B1071" s="3">
        <v>44982</v>
      </c>
      <c r="C1071" s="7" t="str">
        <f t="shared" si="32"/>
        <v>2023</v>
      </c>
      <c r="D1071" s="7" t="str">
        <f t="shared" si="33"/>
        <v>Feb</v>
      </c>
      <c r="E1071" s="6" t="s">
        <v>2275</v>
      </c>
      <c r="F1071" s="5" t="s">
        <v>2403</v>
      </c>
      <c r="G1071">
        <v>1</v>
      </c>
      <c r="H1071">
        <v>454.23</v>
      </c>
      <c r="I1071" s="6" t="s">
        <v>2617</v>
      </c>
      <c r="J1071" s="6" t="s">
        <v>3068</v>
      </c>
      <c r="K1071" s="6" t="s">
        <v>3072</v>
      </c>
      <c r="L1071" t="s">
        <v>4144</v>
      </c>
      <c r="M1071">
        <v>3</v>
      </c>
      <c r="N1071" t="s">
        <v>4285</v>
      </c>
      <c r="O1071" t="s">
        <v>4281</v>
      </c>
      <c r="P1071">
        <v>454.23</v>
      </c>
    </row>
    <row r="1072" spans="1:16" x14ac:dyDescent="0.3">
      <c r="A1072" t="s">
        <v>1084</v>
      </c>
      <c r="B1072" s="3">
        <v>45541</v>
      </c>
      <c r="C1072" s="7" t="str">
        <f t="shared" si="32"/>
        <v>2024</v>
      </c>
      <c r="D1072" s="7" t="str">
        <f t="shared" si="33"/>
        <v>Sept</v>
      </c>
      <c r="E1072" s="6" t="s">
        <v>2276</v>
      </c>
      <c r="F1072" s="5" t="s">
        <v>2409</v>
      </c>
      <c r="G1072">
        <v>4</v>
      </c>
      <c r="H1072">
        <v>491.29</v>
      </c>
      <c r="I1072" s="6" t="s">
        <v>2485</v>
      </c>
      <c r="J1072" s="6" t="s">
        <v>3065</v>
      </c>
      <c r="K1072" s="6" t="s">
        <v>3074</v>
      </c>
      <c r="L1072" t="s">
        <v>4145</v>
      </c>
      <c r="M1072">
        <v>6</v>
      </c>
      <c r="N1072" t="s">
        <v>4285</v>
      </c>
      <c r="O1072" t="s">
        <v>4280</v>
      </c>
      <c r="P1072">
        <v>1965.16</v>
      </c>
    </row>
    <row r="1073" spans="1:16" x14ac:dyDescent="0.3">
      <c r="A1073" t="s">
        <v>1085</v>
      </c>
      <c r="B1073" s="3">
        <v>45832</v>
      </c>
      <c r="C1073" s="7" t="str">
        <f t="shared" si="32"/>
        <v>2025</v>
      </c>
      <c r="D1073" s="7" t="str">
        <f t="shared" si="33"/>
        <v>Jun</v>
      </c>
      <c r="E1073" s="6" t="s">
        <v>2277</v>
      </c>
      <c r="F1073" s="5" t="s">
        <v>2404</v>
      </c>
      <c r="G1073">
        <v>2</v>
      </c>
      <c r="H1073">
        <v>255.14</v>
      </c>
      <c r="I1073" s="6" t="s">
        <v>2717</v>
      </c>
      <c r="J1073" s="6" t="s">
        <v>3069</v>
      </c>
      <c r="K1073" s="6" t="s">
        <v>3070</v>
      </c>
      <c r="L1073" t="s">
        <v>4146</v>
      </c>
      <c r="M1073">
        <v>2</v>
      </c>
      <c r="N1073" t="s">
        <v>4285</v>
      </c>
      <c r="O1073" t="s">
        <v>4282</v>
      </c>
      <c r="P1073">
        <v>510.28</v>
      </c>
    </row>
    <row r="1074" spans="1:16" x14ac:dyDescent="0.3">
      <c r="A1074" t="s">
        <v>1086</v>
      </c>
      <c r="B1074" s="3">
        <v>44983</v>
      </c>
      <c r="C1074" s="7" t="str">
        <f t="shared" si="32"/>
        <v>2023</v>
      </c>
      <c r="D1074" s="7" t="str">
        <f t="shared" si="33"/>
        <v>Feb</v>
      </c>
      <c r="E1074" s="6" t="s">
        <v>2278</v>
      </c>
      <c r="F1074" s="5" t="s">
        <v>2403</v>
      </c>
      <c r="G1074">
        <v>1</v>
      </c>
      <c r="H1074">
        <v>392.61</v>
      </c>
      <c r="I1074" s="6" t="s">
        <v>2635</v>
      </c>
      <c r="J1074" s="6" t="s">
        <v>3068</v>
      </c>
      <c r="K1074" s="6" t="s">
        <v>3071</v>
      </c>
      <c r="L1074" t="s">
        <v>4147</v>
      </c>
      <c r="M1074">
        <v>4</v>
      </c>
      <c r="N1074" t="s">
        <v>4275</v>
      </c>
      <c r="O1074" t="s">
        <v>4279</v>
      </c>
      <c r="P1074">
        <v>392.61</v>
      </c>
    </row>
    <row r="1075" spans="1:16" x14ac:dyDescent="0.3">
      <c r="A1075" t="s">
        <v>1087</v>
      </c>
      <c r="B1075" s="3">
        <v>45576</v>
      </c>
      <c r="C1075" s="7" t="str">
        <f t="shared" si="32"/>
        <v>2024</v>
      </c>
      <c r="D1075" s="7" t="str">
        <f t="shared" si="33"/>
        <v>Oct</v>
      </c>
      <c r="E1075" s="6" t="s">
        <v>2279</v>
      </c>
      <c r="F1075" s="5" t="s">
        <v>2405</v>
      </c>
      <c r="G1075">
        <v>4</v>
      </c>
      <c r="H1075">
        <v>362.06</v>
      </c>
      <c r="I1075" s="6" t="s">
        <v>2631</v>
      </c>
      <c r="J1075" s="6" t="s">
        <v>3065</v>
      </c>
      <c r="K1075" s="6" t="s">
        <v>3072</v>
      </c>
      <c r="L1075" t="s">
        <v>4148</v>
      </c>
      <c r="M1075">
        <v>4</v>
      </c>
      <c r="N1075" t="s">
        <v>4285</v>
      </c>
      <c r="O1075" t="s">
        <v>4281</v>
      </c>
      <c r="P1075">
        <v>1448.24</v>
      </c>
    </row>
    <row r="1076" spans="1:16" x14ac:dyDescent="0.3">
      <c r="A1076" t="s">
        <v>1088</v>
      </c>
      <c r="B1076" s="3">
        <v>45422</v>
      </c>
      <c r="C1076" s="7" t="str">
        <f t="shared" si="32"/>
        <v>2024</v>
      </c>
      <c r="D1076" s="7" t="str">
        <f t="shared" si="33"/>
        <v>May</v>
      </c>
      <c r="E1076" s="6" t="s">
        <v>2280</v>
      </c>
      <c r="F1076" s="5" t="s">
        <v>2404</v>
      </c>
      <c r="G1076">
        <v>1</v>
      </c>
      <c r="H1076">
        <v>222.73</v>
      </c>
      <c r="I1076" s="6" t="s">
        <v>3021</v>
      </c>
      <c r="J1076" s="6" t="s">
        <v>3066</v>
      </c>
      <c r="K1076" s="6" t="s">
        <v>3072</v>
      </c>
      <c r="L1076" t="s">
        <v>4149</v>
      </c>
      <c r="M1076">
        <v>4</v>
      </c>
      <c r="N1076" t="s">
        <v>4285</v>
      </c>
      <c r="O1076" t="s">
        <v>4282</v>
      </c>
      <c r="P1076">
        <v>222.73</v>
      </c>
    </row>
    <row r="1077" spans="1:16" x14ac:dyDescent="0.3">
      <c r="A1077" t="s">
        <v>1089</v>
      </c>
      <c r="B1077" s="3">
        <v>45535</v>
      </c>
      <c r="C1077" s="7" t="str">
        <f t="shared" si="32"/>
        <v>2024</v>
      </c>
      <c r="D1077" s="7" t="str">
        <f t="shared" si="33"/>
        <v>Aug</v>
      </c>
      <c r="E1077" s="6" t="s">
        <v>2281</v>
      </c>
      <c r="F1077" s="5" t="s">
        <v>2403</v>
      </c>
      <c r="G1077">
        <v>2</v>
      </c>
      <c r="H1077">
        <v>552.63</v>
      </c>
      <c r="I1077" s="6" t="s">
        <v>2591</v>
      </c>
      <c r="J1077" s="6" t="s">
        <v>3065</v>
      </c>
      <c r="K1077" s="6" t="s">
        <v>3073</v>
      </c>
      <c r="L1077" t="s">
        <v>4150</v>
      </c>
      <c r="M1077">
        <v>7</v>
      </c>
      <c r="N1077" t="s">
        <v>4277</v>
      </c>
      <c r="O1077" t="s">
        <v>4278</v>
      </c>
      <c r="P1077">
        <v>1105.26</v>
      </c>
    </row>
    <row r="1078" spans="1:16" x14ac:dyDescent="0.3">
      <c r="A1078" t="s">
        <v>1090</v>
      </c>
      <c r="B1078" s="3">
        <v>45054</v>
      </c>
      <c r="C1078" s="7" t="str">
        <f t="shared" si="32"/>
        <v>2023</v>
      </c>
      <c r="D1078" s="7" t="str">
        <f t="shared" si="33"/>
        <v>May</v>
      </c>
      <c r="E1078" s="6" t="s">
        <v>2282</v>
      </c>
      <c r="F1078" s="5" t="s">
        <v>2408</v>
      </c>
      <c r="G1078">
        <v>4</v>
      </c>
      <c r="H1078">
        <v>686.61</v>
      </c>
      <c r="I1078" s="6" t="s">
        <v>3005</v>
      </c>
      <c r="J1078" s="6" t="s">
        <v>3069</v>
      </c>
      <c r="K1078" s="6" t="s">
        <v>3070</v>
      </c>
      <c r="L1078" t="s">
        <v>4151</v>
      </c>
      <c r="M1078">
        <v>6</v>
      </c>
      <c r="N1078" t="s">
        <v>4285</v>
      </c>
      <c r="O1078" t="s">
        <v>4279</v>
      </c>
      <c r="P1078">
        <v>2746.44</v>
      </c>
    </row>
    <row r="1079" spans="1:16" x14ac:dyDescent="0.3">
      <c r="A1079" t="s">
        <v>1091</v>
      </c>
      <c r="B1079" s="3">
        <v>45723</v>
      </c>
      <c r="C1079" s="7" t="str">
        <f t="shared" si="32"/>
        <v>2025</v>
      </c>
      <c r="D1079" s="7" t="str">
        <f t="shared" si="33"/>
        <v>Mar</v>
      </c>
      <c r="E1079" s="6" t="s">
        <v>2283</v>
      </c>
      <c r="F1079" s="5" t="s">
        <v>2407</v>
      </c>
      <c r="G1079">
        <v>3</v>
      </c>
      <c r="H1079">
        <v>305.16000000000003</v>
      </c>
      <c r="I1079" s="6" t="s">
        <v>2517</v>
      </c>
      <c r="J1079" s="6" t="s">
        <v>3067</v>
      </c>
      <c r="K1079" s="6" t="s">
        <v>3071</v>
      </c>
      <c r="L1079" t="s">
        <v>4152</v>
      </c>
      <c r="M1079">
        <v>8</v>
      </c>
      <c r="N1079" t="s">
        <v>4275</v>
      </c>
      <c r="O1079" t="s">
        <v>4279</v>
      </c>
      <c r="P1079">
        <v>915.48</v>
      </c>
    </row>
    <row r="1080" spans="1:16" x14ac:dyDescent="0.3">
      <c r="A1080" t="s">
        <v>1092</v>
      </c>
      <c r="B1080" s="3">
        <v>45003</v>
      </c>
      <c r="C1080" s="7" t="str">
        <f t="shared" si="32"/>
        <v>2023</v>
      </c>
      <c r="D1080" s="7" t="str">
        <f t="shared" si="33"/>
        <v>Mar</v>
      </c>
      <c r="E1080" s="6" t="s">
        <v>2284</v>
      </c>
      <c r="F1080" s="5" t="s">
        <v>2409</v>
      </c>
      <c r="G1080">
        <v>1</v>
      </c>
      <c r="H1080">
        <v>41.09</v>
      </c>
      <c r="I1080" s="6" t="s">
        <v>2437</v>
      </c>
      <c r="J1080" s="6" t="s">
        <v>3066</v>
      </c>
      <c r="K1080" s="6" t="s">
        <v>3072</v>
      </c>
      <c r="L1080" t="s">
        <v>4153</v>
      </c>
      <c r="M1080">
        <v>4</v>
      </c>
      <c r="N1080" t="s">
        <v>4277</v>
      </c>
      <c r="O1080" t="s">
        <v>4280</v>
      </c>
      <c r="P1080">
        <v>41.09</v>
      </c>
    </row>
    <row r="1081" spans="1:16" x14ac:dyDescent="0.3">
      <c r="A1081" t="s">
        <v>1093</v>
      </c>
      <c r="B1081" s="3">
        <v>45463</v>
      </c>
      <c r="C1081" s="7" t="str">
        <f t="shared" si="32"/>
        <v>2024</v>
      </c>
      <c r="D1081" s="7" t="str">
        <f t="shared" si="33"/>
        <v>Jun</v>
      </c>
      <c r="E1081" s="6" t="s">
        <v>2285</v>
      </c>
      <c r="F1081" s="5" t="s">
        <v>2404</v>
      </c>
      <c r="G1081">
        <v>5</v>
      </c>
      <c r="H1081">
        <v>634</v>
      </c>
      <c r="I1081" s="6" t="s">
        <v>2980</v>
      </c>
      <c r="J1081" s="6" t="s">
        <v>3068</v>
      </c>
      <c r="K1081" s="6" t="s">
        <v>3073</v>
      </c>
      <c r="L1081" t="s">
        <v>4154</v>
      </c>
      <c r="M1081">
        <v>8</v>
      </c>
      <c r="N1081" t="s">
        <v>4285</v>
      </c>
      <c r="O1081" t="s">
        <v>4280</v>
      </c>
      <c r="P1081">
        <v>3170</v>
      </c>
    </row>
    <row r="1082" spans="1:16" x14ac:dyDescent="0.3">
      <c r="A1082" t="s">
        <v>1094</v>
      </c>
      <c r="B1082" s="3">
        <v>44946</v>
      </c>
      <c r="C1082" s="7" t="str">
        <f t="shared" si="32"/>
        <v>2023</v>
      </c>
      <c r="D1082" s="7" t="str">
        <f t="shared" si="33"/>
        <v>Jan</v>
      </c>
      <c r="E1082" s="6" t="s">
        <v>2286</v>
      </c>
      <c r="F1082" s="5" t="s">
        <v>2408</v>
      </c>
      <c r="G1082">
        <v>5</v>
      </c>
      <c r="H1082">
        <v>464.74</v>
      </c>
      <c r="I1082" s="6" t="s">
        <v>3022</v>
      </c>
      <c r="J1082" s="6" t="s">
        <v>3068</v>
      </c>
      <c r="K1082" s="6" t="s">
        <v>3073</v>
      </c>
      <c r="L1082" t="s">
        <v>4155</v>
      </c>
      <c r="M1082">
        <v>7</v>
      </c>
      <c r="N1082" t="s">
        <v>4285</v>
      </c>
      <c r="O1082" t="s">
        <v>4279</v>
      </c>
      <c r="P1082">
        <v>2323.6999999999998</v>
      </c>
    </row>
    <row r="1083" spans="1:16" x14ac:dyDescent="0.3">
      <c r="A1083" t="s">
        <v>1095</v>
      </c>
      <c r="B1083" s="3">
        <v>45037</v>
      </c>
      <c r="C1083" s="7" t="str">
        <f t="shared" si="32"/>
        <v>2023</v>
      </c>
      <c r="D1083" s="7" t="str">
        <f t="shared" si="33"/>
        <v>Apr</v>
      </c>
      <c r="E1083" s="6" t="s">
        <v>2287</v>
      </c>
      <c r="F1083" s="5" t="s">
        <v>2403</v>
      </c>
      <c r="G1083">
        <v>4</v>
      </c>
      <c r="H1083">
        <v>425.6</v>
      </c>
      <c r="I1083" s="6" t="s">
        <v>2704</v>
      </c>
      <c r="J1083" s="6" t="s">
        <v>3067</v>
      </c>
      <c r="K1083" s="6" t="s">
        <v>3074</v>
      </c>
      <c r="L1083" t="s">
        <v>4156</v>
      </c>
      <c r="M1083">
        <v>5</v>
      </c>
      <c r="N1083" t="s">
        <v>4276</v>
      </c>
      <c r="O1083" t="s">
        <v>4282</v>
      </c>
      <c r="P1083">
        <v>1702.4</v>
      </c>
    </row>
    <row r="1084" spans="1:16" x14ac:dyDescent="0.3">
      <c r="A1084" t="s">
        <v>1096</v>
      </c>
      <c r="B1084" s="3">
        <v>45205</v>
      </c>
      <c r="C1084" s="7" t="str">
        <f t="shared" si="32"/>
        <v>2023</v>
      </c>
      <c r="D1084" s="7" t="str">
        <f t="shared" si="33"/>
        <v>Oct</v>
      </c>
      <c r="E1084" s="6" t="s">
        <v>2288</v>
      </c>
      <c r="F1084" s="5" t="s">
        <v>2406</v>
      </c>
      <c r="G1084">
        <v>3</v>
      </c>
      <c r="H1084">
        <v>573.22</v>
      </c>
      <c r="I1084" s="6" t="s">
        <v>3011</v>
      </c>
      <c r="J1084" s="6" t="s">
        <v>3065</v>
      </c>
      <c r="K1084" s="6" t="s">
        <v>3074</v>
      </c>
      <c r="L1084" t="s">
        <v>4157</v>
      </c>
      <c r="M1084">
        <v>5</v>
      </c>
      <c r="N1084" t="s">
        <v>4275</v>
      </c>
      <c r="O1084" t="s">
        <v>4280</v>
      </c>
      <c r="P1084">
        <v>1719.66</v>
      </c>
    </row>
    <row r="1085" spans="1:16" x14ac:dyDescent="0.3">
      <c r="A1085" t="s">
        <v>1097</v>
      </c>
      <c r="B1085" s="3">
        <v>45482</v>
      </c>
      <c r="C1085" s="7" t="str">
        <f t="shared" si="32"/>
        <v>2024</v>
      </c>
      <c r="D1085" s="7" t="str">
        <f t="shared" si="33"/>
        <v>Jul</v>
      </c>
      <c r="E1085" s="6" t="s">
        <v>2289</v>
      </c>
      <c r="F1085" s="5" t="s">
        <v>2406</v>
      </c>
      <c r="G1085">
        <v>1</v>
      </c>
      <c r="H1085">
        <v>123.28</v>
      </c>
      <c r="I1085" s="6" t="s">
        <v>2440</v>
      </c>
      <c r="J1085" s="6" t="s">
        <v>3067</v>
      </c>
      <c r="K1085" s="6" t="s">
        <v>3073</v>
      </c>
      <c r="L1085" t="s">
        <v>4158</v>
      </c>
      <c r="M1085">
        <v>3</v>
      </c>
      <c r="N1085" t="s">
        <v>4275</v>
      </c>
      <c r="O1085" t="s">
        <v>4280</v>
      </c>
      <c r="P1085">
        <v>123.28</v>
      </c>
    </row>
    <row r="1086" spans="1:16" x14ac:dyDescent="0.3">
      <c r="A1086" t="s">
        <v>1098</v>
      </c>
      <c r="B1086" s="3">
        <v>44934</v>
      </c>
      <c r="C1086" s="7" t="str">
        <f t="shared" si="32"/>
        <v>2023</v>
      </c>
      <c r="D1086" s="7" t="str">
        <f t="shared" si="33"/>
        <v>Jan</v>
      </c>
      <c r="E1086" s="6" t="s">
        <v>2290</v>
      </c>
      <c r="F1086" s="5" t="s">
        <v>2404</v>
      </c>
      <c r="G1086">
        <v>1</v>
      </c>
      <c r="H1086">
        <v>70.819999999999993</v>
      </c>
      <c r="I1086" s="6" t="s">
        <v>2445</v>
      </c>
      <c r="J1086" s="6" t="s">
        <v>3068</v>
      </c>
      <c r="K1086" s="6" t="s">
        <v>3074</v>
      </c>
      <c r="L1086" t="s">
        <v>4159</v>
      </c>
      <c r="M1086">
        <v>1</v>
      </c>
      <c r="N1086" t="s">
        <v>4277</v>
      </c>
      <c r="O1086" t="s">
        <v>4278</v>
      </c>
      <c r="P1086">
        <v>70.819999999999993</v>
      </c>
    </row>
    <row r="1087" spans="1:16" x14ac:dyDescent="0.3">
      <c r="A1087" t="s">
        <v>1099</v>
      </c>
      <c r="B1087" s="3">
        <v>45067</v>
      </c>
      <c r="C1087" s="7" t="str">
        <f t="shared" si="32"/>
        <v>2023</v>
      </c>
      <c r="D1087" s="7" t="str">
        <f t="shared" si="33"/>
        <v>May</v>
      </c>
      <c r="E1087" s="6" t="s">
        <v>2291</v>
      </c>
      <c r="F1087" s="5" t="s">
        <v>2407</v>
      </c>
      <c r="G1087">
        <v>2</v>
      </c>
      <c r="H1087">
        <v>646.69000000000005</v>
      </c>
      <c r="I1087" s="6" t="s">
        <v>2545</v>
      </c>
      <c r="J1087" s="6" t="s">
        <v>3065</v>
      </c>
      <c r="K1087" s="6" t="s">
        <v>3070</v>
      </c>
      <c r="L1087" t="s">
        <v>4160</v>
      </c>
      <c r="M1087">
        <v>7</v>
      </c>
      <c r="N1087" t="s">
        <v>4277</v>
      </c>
      <c r="O1087" t="s">
        <v>4278</v>
      </c>
      <c r="P1087">
        <v>1293.3800000000001</v>
      </c>
    </row>
    <row r="1088" spans="1:16" x14ac:dyDescent="0.3">
      <c r="A1088" t="s">
        <v>1100</v>
      </c>
      <c r="B1088" s="3">
        <v>45283</v>
      </c>
      <c r="C1088" s="7" t="str">
        <f t="shared" si="32"/>
        <v>2023</v>
      </c>
      <c r="D1088" s="7" t="str">
        <f t="shared" si="33"/>
        <v>Dec</v>
      </c>
      <c r="E1088" s="6" t="s">
        <v>2292</v>
      </c>
      <c r="F1088" s="5" t="s">
        <v>2405</v>
      </c>
      <c r="G1088">
        <v>2</v>
      </c>
      <c r="H1088">
        <v>513.41999999999996</v>
      </c>
      <c r="I1088" s="6" t="s">
        <v>3023</v>
      </c>
      <c r="J1088" s="6" t="s">
        <v>3066</v>
      </c>
      <c r="K1088" s="6" t="s">
        <v>3074</v>
      </c>
      <c r="L1088" t="s">
        <v>4161</v>
      </c>
      <c r="M1088">
        <v>5</v>
      </c>
      <c r="N1088" t="s">
        <v>4277</v>
      </c>
      <c r="O1088" t="s">
        <v>4278</v>
      </c>
      <c r="P1088">
        <v>1026.8399999999999</v>
      </c>
    </row>
    <row r="1089" spans="1:16" x14ac:dyDescent="0.3">
      <c r="A1089" t="s">
        <v>1101</v>
      </c>
      <c r="B1089" s="3">
        <v>45739</v>
      </c>
      <c r="C1089" s="7" t="str">
        <f t="shared" si="32"/>
        <v>2025</v>
      </c>
      <c r="D1089" s="7" t="str">
        <f t="shared" si="33"/>
        <v>Mar</v>
      </c>
      <c r="E1089" s="6" t="s">
        <v>2293</v>
      </c>
      <c r="F1089" s="5" t="s">
        <v>2408</v>
      </c>
      <c r="G1089">
        <v>4</v>
      </c>
      <c r="H1089">
        <v>693.07</v>
      </c>
      <c r="I1089" s="6" t="s">
        <v>3024</v>
      </c>
      <c r="J1089" s="6" t="s">
        <v>3066</v>
      </c>
      <c r="K1089" s="6" t="s">
        <v>3070</v>
      </c>
      <c r="L1089" t="s">
        <v>4162</v>
      </c>
      <c r="M1089">
        <v>8</v>
      </c>
      <c r="N1089" t="s">
        <v>4275</v>
      </c>
      <c r="O1089" t="s">
        <v>4278</v>
      </c>
      <c r="P1089">
        <v>2772.28</v>
      </c>
    </row>
    <row r="1090" spans="1:16" x14ac:dyDescent="0.3">
      <c r="A1090" t="s">
        <v>1102</v>
      </c>
      <c r="B1090" s="3">
        <v>45260</v>
      </c>
      <c r="C1090" s="7" t="str">
        <f t="shared" ref="C1090:C1153" si="34">TEXT(B1090, "yyyy")</f>
        <v>2023</v>
      </c>
      <c r="D1090" s="7" t="str">
        <f t="shared" ref="D1090:D1153" si="35">TEXT(B1090, "MMM")</f>
        <v>Nov</v>
      </c>
      <c r="E1090" s="6" t="s">
        <v>2294</v>
      </c>
      <c r="F1090" s="5" t="s">
        <v>2409</v>
      </c>
      <c r="G1090">
        <v>3</v>
      </c>
      <c r="H1090">
        <v>491.43</v>
      </c>
      <c r="I1090" s="6" t="s">
        <v>3025</v>
      </c>
      <c r="J1090" s="6" t="s">
        <v>3068</v>
      </c>
      <c r="K1090" s="6" t="s">
        <v>3070</v>
      </c>
      <c r="L1090" t="s">
        <v>4163</v>
      </c>
      <c r="M1090">
        <v>6</v>
      </c>
      <c r="N1090" t="s">
        <v>4277</v>
      </c>
      <c r="O1090" t="s">
        <v>4278</v>
      </c>
      <c r="P1090">
        <v>1474.29</v>
      </c>
    </row>
    <row r="1091" spans="1:16" x14ac:dyDescent="0.3">
      <c r="A1091" t="s">
        <v>1103</v>
      </c>
      <c r="B1091" s="3">
        <v>45731</v>
      </c>
      <c r="C1091" s="7" t="str">
        <f t="shared" si="34"/>
        <v>2025</v>
      </c>
      <c r="D1091" s="7" t="str">
        <f t="shared" si="35"/>
        <v>Mar</v>
      </c>
      <c r="E1091" s="6" t="s">
        <v>2295</v>
      </c>
      <c r="F1091" s="5" t="s">
        <v>2405</v>
      </c>
      <c r="G1091">
        <v>2</v>
      </c>
      <c r="H1091">
        <v>599.74</v>
      </c>
      <c r="I1091" s="6" t="s">
        <v>2473</v>
      </c>
      <c r="J1091" s="6" t="s">
        <v>3068</v>
      </c>
      <c r="K1091" s="6" t="s">
        <v>3070</v>
      </c>
      <c r="L1091" t="s">
        <v>4164</v>
      </c>
      <c r="M1091">
        <v>2</v>
      </c>
      <c r="N1091" t="s">
        <v>4285</v>
      </c>
      <c r="O1091" t="s">
        <v>4278</v>
      </c>
      <c r="P1091">
        <v>1199.48</v>
      </c>
    </row>
    <row r="1092" spans="1:16" x14ac:dyDescent="0.3">
      <c r="A1092" t="s">
        <v>1104</v>
      </c>
      <c r="B1092" s="3">
        <v>44982</v>
      </c>
      <c r="C1092" s="7" t="str">
        <f t="shared" si="34"/>
        <v>2023</v>
      </c>
      <c r="D1092" s="7" t="str">
        <f t="shared" si="35"/>
        <v>Feb</v>
      </c>
      <c r="E1092" s="6" t="s">
        <v>2296</v>
      </c>
      <c r="F1092" s="5" t="s">
        <v>2403</v>
      </c>
      <c r="G1092">
        <v>2</v>
      </c>
      <c r="H1092">
        <v>650.25</v>
      </c>
      <c r="I1092" s="6" t="s">
        <v>2441</v>
      </c>
      <c r="J1092" s="6" t="s">
        <v>3068</v>
      </c>
      <c r="K1092" s="6" t="s">
        <v>3072</v>
      </c>
      <c r="L1092" t="s">
        <v>4165</v>
      </c>
      <c r="M1092">
        <v>6</v>
      </c>
      <c r="N1092" t="s">
        <v>4285</v>
      </c>
      <c r="O1092" t="s">
        <v>4278</v>
      </c>
      <c r="P1092">
        <v>1300.5</v>
      </c>
    </row>
    <row r="1093" spans="1:16" x14ac:dyDescent="0.3">
      <c r="A1093" t="s">
        <v>1105</v>
      </c>
      <c r="B1093" s="3">
        <v>45573</v>
      </c>
      <c r="C1093" s="7" t="str">
        <f t="shared" si="34"/>
        <v>2024</v>
      </c>
      <c r="D1093" s="7" t="str">
        <f t="shared" si="35"/>
        <v>Oct</v>
      </c>
      <c r="E1093" s="6" t="s">
        <v>2297</v>
      </c>
      <c r="F1093" s="5" t="s">
        <v>2408</v>
      </c>
      <c r="G1093">
        <v>3</v>
      </c>
      <c r="H1093">
        <v>209.48</v>
      </c>
      <c r="I1093" s="6" t="s">
        <v>2739</v>
      </c>
      <c r="J1093" s="6" t="s">
        <v>3065</v>
      </c>
      <c r="K1093" s="6" t="s">
        <v>3074</v>
      </c>
      <c r="L1093" t="s">
        <v>4166</v>
      </c>
      <c r="M1093">
        <v>4</v>
      </c>
      <c r="N1093" t="s">
        <v>4285</v>
      </c>
      <c r="O1093" t="s">
        <v>4280</v>
      </c>
      <c r="P1093">
        <v>628.43999999999994</v>
      </c>
    </row>
    <row r="1094" spans="1:16" x14ac:dyDescent="0.3">
      <c r="A1094" t="s">
        <v>1106</v>
      </c>
      <c r="B1094" s="3">
        <v>45159</v>
      </c>
      <c r="C1094" s="7" t="str">
        <f t="shared" si="34"/>
        <v>2023</v>
      </c>
      <c r="D1094" s="7" t="str">
        <f t="shared" si="35"/>
        <v>Aug</v>
      </c>
      <c r="E1094" s="6" t="s">
        <v>2298</v>
      </c>
      <c r="F1094" s="5" t="s">
        <v>2408</v>
      </c>
      <c r="G1094">
        <v>5</v>
      </c>
      <c r="H1094">
        <v>209.2</v>
      </c>
      <c r="I1094" s="6" t="s">
        <v>2439</v>
      </c>
      <c r="J1094" s="6" t="s">
        <v>3065</v>
      </c>
      <c r="K1094" s="6" t="s">
        <v>3073</v>
      </c>
      <c r="L1094" t="s">
        <v>4167</v>
      </c>
      <c r="M1094">
        <v>6</v>
      </c>
      <c r="N1094" t="s">
        <v>4277</v>
      </c>
      <c r="O1094" t="s">
        <v>4280</v>
      </c>
      <c r="P1094">
        <v>1046</v>
      </c>
    </row>
    <row r="1095" spans="1:16" x14ac:dyDescent="0.3">
      <c r="A1095" t="s">
        <v>1107</v>
      </c>
      <c r="B1095" s="3">
        <v>45086</v>
      </c>
      <c r="C1095" s="7" t="str">
        <f t="shared" si="34"/>
        <v>2023</v>
      </c>
      <c r="D1095" s="7" t="str">
        <f t="shared" si="35"/>
        <v>Jun</v>
      </c>
      <c r="E1095" s="6" t="s">
        <v>2299</v>
      </c>
      <c r="F1095" s="5" t="s">
        <v>2404</v>
      </c>
      <c r="G1095">
        <v>4</v>
      </c>
      <c r="H1095">
        <v>197.36</v>
      </c>
      <c r="I1095" s="6" t="s">
        <v>3026</v>
      </c>
      <c r="J1095" s="6" t="s">
        <v>3068</v>
      </c>
      <c r="K1095" s="6" t="s">
        <v>3072</v>
      </c>
      <c r="L1095" t="s">
        <v>4168</v>
      </c>
      <c r="M1095">
        <v>9</v>
      </c>
      <c r="N1095" t="s">
        <v>4276</v>
      </c>
      <c r="O1095" t="s">
        <v>4278</v>
      </c>
      <c r="P1095">
        <v>789.44</v>
      </c>
    </row>
    <row r="1096" spans="1:16" x14ac:dyDescent="0.3">
      <c r="A1096" t="s">
        <v>1108</v>
      </c>
      <c r="B1096" s="3">
        <v>45105</v>
      </c>
      <c r="C1096" s="7" t="str">
        <f t="shared" si="34"/>
        <v>2023</v>
      </c>
      <c r="D1096" s="7" t="str">
        <f t="shared" si="35"/>
        <v>Jun</v>
      </c>
      <c r="E1096" s="6" t="s">
        <v>2300</v>
      </c>
      <c r="F1096" s="5" t="s">
        <v>2407</v>
      </c>
      <c r="G1096">
        <v>4</v>
      </c>
      <c r="H1096">
        <v>648.91</v>
      </c>
      <c r="I1096" s="6" t="s">
        <v>3027</v>
      </c>
      <c r="J1096" s="6" t="s">
        <v>3067</v>
      </c>
      <c r="K1096" s="6" t="s">
        <v>3070</v>
      </c>
      <c r="L1096" t="s">
        <v>4169</v>
      </c>
      <c r="M1096">
        <v>6</v>
      </c>
      <c r="N1096" t="s">
        <v>4275</v>
      </c>
      <c r="O1096" t="s">
        <v>4278</v>
      </c>
      <c r="P1096">
        <v>2595.64</v>
      </c>
    </row>
    <row r="1097" spans="1:16" x14ac:dyDescent="0.3">
      <c r="A1097" t="s">
        <v>1109</v>
      </c>
      <c r="B1097" s="3">
        <v>45405</v>
      </c>
      <c r="C1097" s="7" t="str">
        <f t="shared" si="34"/>
        <v>2024</v>
      </c>
      <c r="D1097" s="7" t="str">
        <f t="shared" si="35"/>
        <v>Apr</v>
      </c>
      <c r="E1097" s="6" t="s">
        <v>2301</v>
      </c>
      <c r="F1097" s="5" t="s">
        <v>2404</v>
      </c>
      <c r="G1097">
        <v>2</v>
      </c>
      <c r="H1097">
        <v>441.54</v>
      </c>
      <c r="I1097" s="6" t="s">
        <v>3028</v>
      </c>
      <c r="J1097" s="6" t="s">
        <v>3066</v>
      </c>
      <c r="K1097" s="6" t="s">
        <v>3073</v>
      </c>
      <c r="L1097" t="s">
        <v>4170</v>
      </c>
      <c r="M1097">
        <v>2</v>
      </c>
      <c r="N1097" t="s">
        <v>4275</v>
      </c>
      <c r="O1097" t="s">
        <v>4280</v>
      </c>
      <c r="P1097">
        <v>883.08</v>
      </c>
    </row>
    <row r="1098" spans="1:16" x14ac:dyDescent="0.3">
      <c r="A1098" t="s">
        <v>1110</v>
      </c>
      <c r="B1098" s="3">
        <v>45780</v>
      </c>
      <c r="C1098" s="7" t="str">
        <f t="shared" si="34"/>
        <v>2025</v>
      </c>
      <c r="D1098" s="7" t="str">
        <f t="shared" si="35"/>
        <v>May</v>
      </c>
      <c r="E1098" s="6" t="s">
        <v>2302</v>
      </c>
      <c r="F1098" s="5" t="s">
        <v>2405</v>
      </c>
      <c r="G1098">
        <v>2</v>
      </c>
      <c r="H1098">
        <v>464.92</v>
      </c>
      <c r="I1098" s="6" t="s">
        <v>3029</v>
      </c>
      <c r="J1098" s="6" t="s">
        <v>3065</v>
      </c>
      <c r="K1098" s="6" t="s">
        <v>3072</v>
      </c>
      <c r="L1098" t="s">
        <v>4171</v>
      </c>
      <c r="M1098">
        <v>2</v>
      </c>
      <c r="N1098" t="s">
        <v>4285</v>
      </c>
      <c r="O1098" t="s">
        <v>4281</v>
      </c>
      <c r="P1098">
        <v>929.84</v>
      </c>
    </row>
    <row r="1099" spans="1:16" x14ac:dyDescent="0.3">
      <c r="A1099" t="s">
        <v>1111</v>
      </c>
      <c r="B1099" s="3">
        <v>45652</v>
      </c>
      <c r="C1099" s="7" t="str">
        <f t="shared" si="34"/>
        <v>2024</v>
      </c>
      <c r="D1099" s="7" t="str">
        <f t="shared" si="35"/>
        <v>Dec</v>
      </c>
      <c r="E1099" s="6" t="s">
        <v>2303</v>
      </c>
      <c r="F1099" s="5" t="s">
        <v>2403</v>
      </c>
      <c r="G1099">
        <v>5</v>
      </c>
      <c r="H1099">
        <v>506.45</v>
      </c>
      <c r="I1099" s="6" t="s">
        <v>3030</v>
      </c>
      <c r="J1099" s="6" t="s">
        <v>3068</v>
      </c>
      <c r="K1099" s="6" t="s">
        <v>3070</v>
      </c>
      <c r="L1099" t="s">
        <v>4172</v>
      </c>
      <c r="M1099">
        <v>7</v>
      </c>
      <c r="N1099" t="s">
        <v>4277</v>
      </c>
      <c r="O1099" t="s">
        <v>4282</v>
      </c>
      <c r="P1099">
        <v>2532.25</v>
      </c>
    </row>
    <row r="1100" spans="1:16" x14ac:dyDescent="0.3">
      <c r="A1100" t="s">
        <v>1112</v>
      </c>
      <c r="B1100" s="3">
        <v>45094</v>
      </c>
      <c r="C1100" s="7" t="str">
        <f t="shared" si="34"/>
        <v>2023</v>
      </c>
      <c r="D1100" s="7" t="str">
        <f t="shared" si="35"/>
        <v>Jun</v>
      </c>
      <c r="E1100" s="6" t="s">
        <v>2304</v>
      </c>
      <c r="F1100" s="5" t="s">
        <v>2403</v>
      </c>
      <c r="G1100">
        <v>4</v>
      </c>
      <c r="H1100">
        <v>255.86</v>
      </c>
      <c r="I1100" s="6" t="s">
        <v>3031</v>
      </c>
      <c r="J1100" s="6" t="s">
        <v>3067</v>
      </c>
      <c r="K1100" s="6" t="s">
        <v>3073</v>
      </c>
      <c r="L1100" t="s">
        <v>4173</v>
      </c>
      <c r="M1100">
        <v>7</v>
      </c>
      <c r="N1100" t="s">
        <v>4285</v>
      </c>
      <c r="O1100" t="s">
        <v>4280</v>
      </c>
      <c r="P1100">
        <v>1023.44</v>
      </c>
    </row>
    <row r="1101" spans="1:16" x14ac:dyDescent="0.3">
      <c r="A1101" t="s">
        <v>1113</v>
      </c>
      <c r="B1101" s="3">
        <v>45554</v>
      </c>
      <c r="C1101" s="7" t="str">
        <f t="shared" si="34"/>
        <v>2024</v>
      </c>
      <c r="D1101" s="7" t="str">
        <f t="shared" si="35"/>
        <v>Sept</v>
      </c>
      <c r="E1101" s="6" t="s">
        <v>2305</v>
      </c>
      <c r="F1101" s="5" t="s">
        <v>2408</v>
      </c>
      <c r="G1101">
        <v>2</v>
      </c>
      <c r="H1101">
        <v>125.23</v>
      </c>
      <c r="I1101" s="6" t="s">
        <v>2724</v>
      </c>
      <c r="J1101" s="6" t="s">
        <v>3069</v>
      </c>
      <c r="K1101" s="6" t="s">
        <v>3071</v>
      </c>
      <c r="L1101" t="s">
        <v>4174</v>
      </c>
      <c r="M1101">
        <v>3</v>
      </c>
      <c r="N1101" t="s">
        <v>4276</v>
      </c>
      <c r="O1101" t="s">
        <v>4280</v>
      </c>
      <c r="P1101">
        <v>250.46</v>
      </c>
    </row>
    <row r="1102" spans="1:16" x14ac:dyDescent="0.3">
      <c r="A1102" t="s">
        <v>1114</v>
      </c>
      <c r="B1102" s="3">
        <v>45155</v>
      </c>
      <c r="C1102" s="7" t="str">
        <f t="shared" si="34"/>
        <v>2023</v>
      </c>
      <c r="D1102" s="7" t="str">
        <f t="shared" si="35"/>
        <v>Aug</v>
      </c>
      <c r="E1102" s="6" t="s">
        <v>2306</v>
      </c>
      <c r="F1102" s="5" t="s">
        <v>2408</v>
      </c>
      <c r="G1102">
        <v>5</v>
      </c>
      <c r="H1102">
        <v>38.11</v>
      </c>
      <c r="I1102" s="6" t="s">
        <v>3032</v>
      </c>
      <c r="J1102" s="6" t="s">
        <v>3065</v>
      </c>
      <c r="K1102" s="6" t="s">
        <v>3071</v>
      </c>
      <c r="L1102" t="s">
        <v>4175</v>
      </c>
      <c r="M1102">
        <v>6</v>
      </c>
      <c r="N1102" t="s">
        <v>4277</v>
      </c>
      <c r="O1102" t="s">
        <v>4278</v>
      </c>
      <c r="P1102">
        <v>190.55</v>
      </c>
    </row>
    <row r="1103" spans="1:16" x14ac:dyDescent="0.3">
      <c r="A1103" t="s">
        <v>1115</v>
      </c>
      <c r="B1103" s="3">
        <v>45816</v>
      </c>
      <c r="C1103" s="7" t="str">
        <f t="shared" si="34"/>
        <v>2025</v>
      </c>
      <c r="D1103" s="7" t="str">
        <f t="shared" si="35"/>
        <v>Jun</v>
      </c>
      <c r="E1103" s="6" t="s">
        <v>2307</v>
      </c>
      <c r="F1103" s="5" t="s">
        <v>2403</v>
      </c>
      <c r="G1103">
        <v>3</v>
      </c>
      <c r="H1103">
        <v>161.97</v>
      </c>
      <c r="I1103" s="6" t="s">
        <v>2418</v>
      </c>
      <c r="J1103" s="6" t="s">
        <v>3069</v>
      </c>
      <c r="K1103" s="6" t="s">
        <v>3074</v>
      </c>
      <c r="L1103" t="s">
        <v>4176</v>
      </c>
      <c r="M1103">
        <v>4</v>
      </c>
      <c r="N1103" t="s">
        <v>4275</v>
      </c>
      <c r="O1103" t="s">
        <v>4280</v>
      </c>
      <c r="P1103">
        <v>485.91</v>
      </c>
    </row>
    <row r="1104" spans="1:16" x14ac:dyDescent="0.3">
      <c r="A1104" t="s">
        <v>1116</v>
      </c>
      <c r="B1104" s="3">
        <v>45446</v>
      </c>
      <c r="C1104" s="7" t="str">
        <f t="shared" si="34"/>
        <v>2024</v>
      </c>
      <c r="D1104" s="7" t="str">
        <f t="shared" si="35"/>
        <v>Jun</v>
      </c>
      <c r="E1104" s="6" t="s">
        <v>1228</v>
      </c>
      <c r="F1104" s="5" t="s">
        <v>2406</v>
      </c>
      <c r="G1104">
        <v>4</v>
      </c>
      <c r="H1104">
        <v>347.17</v>
      </c>
      <c r="I1104" s="6" t="s">
        <v>2904</v>
      </c>
      <c r="J1104" s="6" t="s">
        <v>3065</v>
      </c>
      <c r="K1104" s="6" t="s">
        <v>3070</v>
      </c>
      <c r="L1104" t="s">
        <v>4177</v>
      </c>
      <c r="M1104">
        <v>8</v>
      </c>
      <c r="N1104" t="s">
        <v>4285</v>
      </c>
      <c r="O1104" t="s">
        <v>4278</v>
      </c>
      <c r="P1104">
        <v>1388.68</v>
      </c>
    </row>
    <row r="1105" spans="1:16" x14ac:dyDescent="0.3">
      <c r="A1105" t="s">
        <v>1117</v>
      </c>
      <c r="B1105" s="3">
        <v>45040</v>
      </c>
      <c r="C1105" s="7" t="str">
        <f t="shared" si="34"/>
        <v>2023</v>
      </c>
      <c r="D1105" s="7" t="str">
        <f t="shared" si="35"/>
        <v>Apr</v>
      </c>
      <c r="E1105" s="6" t="s">
        <v>2308</v>
      </c>
      <c r="F1105" s="5" t="s">
        <v>2408</v>
      </c>
      <c r="G1105">
        <v>4</v>
      </c>
      <c r="H1105">
        <v>276.32</v>
      </c>
      <c r="I1105" s="6" t="s">
        <v>2477</v>
      </c>
      <c r="J1105" s="6" t="s">
        <v>3066</v>
      </c>
      <c r="K1105" s="6" t="s">
        <v>3073</v>
      </c>
      <c r="L1105" t="s">
        <v>4178</v>
      </c>
      <c r="M1105">
        <v>5</v>
      </c>
      <c r="N1105" t="s">
        <v>4285</v>
      </c>
      <c r="O1105" t="s">
        <v>4282</v>
      </c>
      <c r="P1105">
        <v>1105.28</v>
      </c>
    </row>
    <row r="1106" spans="1:16" x14ac:dyDescent="0.3">
      <c r="A1106" t="s">
        <v>1118</v>
      </c>
      <c r="B1106" s="3">
        <v>45498</v>
      </c>
      <c r="C1106" s="7" t="str">
        <f t="shared" si="34"/>
        <v>2024</v>
      </c>
      <c r="D1106" s="7" t="str">
        <f t="shared" si="35"/>
        <v>Jul</v>
      </c>
      <c r="E1106" s="6" t="s">
        <v>2309</v>
      </c>
      <c r="F1106" s="5" t="s">
        <v>2405</v>
      </c>
      <c r="G1106">
        <v>4</v>
      </c>
      <c r="H1106">
        <v>314.76</v>
      </c>
      <c r="I1106" s="6" t="s">
        <v>3033</v>
      </c>
      <c r="J1106" s="6" t="s">
        <v>3066</v>
      </c>
      <c r="K1106" s="6" t="s">
        <v>3070</v>
      </c>
      <c r="L1106" t="s">
        <v>4179</v>
      </c>
      <c r="M1106">
        <v>8</v>
      </c>
      <c r="N1106" t="s">
        <v>4285</v>
      </c>
      <c r="O1106" t="s">
        <v>4278</v>
      </c>
      <c r="P1106">
        <v>1259.04</v>
      </c>
    </row>
    <row r="1107" spans="1:16" x14ac:dyDescent="0.3">
      <c r="A1107" t="s">
        <v>1119</v>
      </c>
      <c r="B1107" s="3">
        <v>45299</v>
      </c>
      <c r="C1107" s="7" t="str">
        <f t="shared" si="34"/>
        <v>2024</v>
      </c>
      <c r="D1107" s="7" t="str">
        <f t="shared" si="35"/>
        <v>Jan</v>
      </c>
      <c r="E1107" s="6" t="s">
        <v>2310</v>
      </c>
      <c r="F1107" s="5" t="s">
        <v>2405</v>
      </c>
      <c r="G1107">
        <v>3</v>
      </c>
      <c r="H1107">
        <v>475.69</v>
      </c>
      <c r="I1107" s="6" t="s">
        <v>2644</v>
      </c>
      <c r="J1107" s="6" t="s">
        <v>3068</v>
      </c>
      <c r="K1107" s="6" t="s">
        <v>3071</v>
      </c>
      <c r="L1107" t="s">
        <v>4180</v>
      </c>
      <c r="M1107">
        <v>3</v>
      </c>
      <c r="N1107" t="s">
        <v>4276</v>
      </c>
      <c r="O1107" t="s">
        <v>4282</v>
      </c>
      <c r="P1107">
        <v>1427.07</v>
      </c>
    </row>
    <row r="1108" spans="1:16" x14ac:dyDescent="0.3">
      <c r="A1108" t="s">
        <v>1120</v>
      </c>
      <c r="B1108" s="3">
        <v>44997</v>
      </c>
      <c r="C1108" s="7" t="str">
        <f t="shared" si="34"/>
        <v>2023</v>
      </c>
      <c r="D1108" s="7" t="str">
        <f t="shared" si="35"/>
        <v>Mar</v>
      </c>
      <c r="E1108" s="6" t="s">
        <v>2311</v>
      </c>
      <c r="F1108" s="5" t="s">
        <v>2406</v>
      </c>
      <c r="G1108">
        <v>1</v>
      </c>
      <c r="H1108">
        <v>372.8</v>
      </c>
      <c r="I1108" s="6" t="s">
        <v>2423</v>
      </c>
      <c r="J1108" s="6" t="s">
        <v>3069</v>
      </c>
      <c r="K1108" s="6" t="s">
        <v>3071</v>
      </c>
      <c r="L1108" t="s">
        <v>4181</v>
      </c>
      <c r="M1108">
        <v>6</v>
      </c>
      <c r="N1108" t="s">
        <v>4275</v>
      </c>
      <c r="O1108" t="s">
        <v>4281</v>
      </c>
      <c r="P1108">
        <v>372.8</v>
      </c>
    </row>
    <row r="1109" spans="1:16" x14ac:dyDescent="0.3">
      <c r="A1109" t="s">
        <v>1121</v>
      </c>
      <c r="B1109" s="3">
        <v>45838</v>
      </c>
      <c r="C1109" s="7" t="str">
        <f t="shared" si="34"/>
        <v>2025</v>
      </c>
      <c r="D1109" s="7" t="str">
        <f t="shared" si="35"/>
        <v>Jun</v>
      </c>
      <c r="E1109" s="6" t="s">
        <v>2312</v>
      </c>
      <c r="F1109" s="5" t="s">
        <v>2405</v>
      </c>
      <c r="G1109">
        <v>2</v>
      </c>
      <c r="H1109">
        <v>63.21</v>
      </c>
      <c r="I1109" s="6" t="s">
        <v>2839</v>
      </c>
      <c r="J1109" s="6" t="s">
        <v>3066</v>
      </c>
      <c r="K1109" s="6" t="s">
        <v>3071</v>
      </c>
      <c r="L1109" t="s">
        <v>4182</v>
      </c>
      <c r="M1109">
        <v>4</v>
      </c>
      <c r="N1109" t="s">
        <v>4275</v>
      </c>
      <c r="O1109" t="s">
        <v>4282</v>
      </c>
      <c r="P1109">
        <v>126.42</v>
      </c>
    </row>
    <row r="1110" spans="1:16" x14ac:dyDescent="0.3">
      <c r="A1110" t="s">
        <v>1122</v>
      </c>
      <c r="B1110" s="3">
        <v>45005</v>
      </c>
      <c r="C1110" s="7" t="str">
        <f t="shared" si="34"/>
        <v>2023</v>
      </c>
      <c r="D1110" s="7" t="str">
        <f t="shared" si="35"/>
        <v>Mar</v>
      </c>
      <c r="E1110" s="6" t="s">
        <v>2313</v>
      </c>
      <c r="F1110" s="5" t="s">
        <v>2408</v>
      </c>
      <c r="G1110">
        <v>1</v>
      </c>
      <c r="H1110">
        <v>634.94000000000005</v>
      </c>
      <c r="I1110" s="6" t="s">
        <v>3034</v>
      </c>
      <c r="J1110" s="6" t="s">
        <v>3066</v>
      </c>
      <c r="K1110" s="6" t="s">
        <v>3071</v>
      </c>
      <c r="L1110" t="s">
        <v>4183</v>
      </c>
      <c r="M1110">
        <v>5</v>
      </c>
      <c r="N1110" t="s">
        <v>4277</v>
      </c>
      <c r="O1110" t="s">
        <v>4278</v>
      </c>
      <c r="P1110">
        <v>634.94000000000005</v>
      </c>
    </row>
    <row r="1111" spans="1:16" x14ac:dyDescent="0.3">
      <c r="A1111" t="s">
        <v>1123</v>
      </c>
      <c r="B1111" s="3">
        <v>45390</v>
      </c>
      <c r="C1111" s="7" t="str">
        <f t="shared" si="34"/>
        <v>2024</v>
      </c>
      <c r="D1111" s="7" t="str">
        <f t="shared" si="35"/>
        <v>Apr</v>
      </c>
      <c r="E1111" s="6" t="s">
        <v>2314</v>
      </c>
      <c r="F1111" s="5" t="s">
        <v>2407</v>
      </c>
      <c r="G1111">
        <v>4</v>
      </c>
      <c r="H1111">
        <v>77.47</v>
      </c>
      <c r="I1111" s="6" t="s">
        <v>2768</v>
      </c>
      <c r="J1111" s="6" t="s">
        <v>3068</v>
      </c>
      <c r="K1111" s="6" t="s">
        <v>3072</v>
      </c>
      <c r="L1111" t="s">
        <v>4184</v>
      </c>
      <c r="M1111">
        <v>7</v>
      </c>
      <c r="N1111" t="s">
        <v>4275</v>
      </c>
      <c r="O1111" t="s">
        <v>4278</v>
      </c>
      <c r="P1111">
        <v>309.88</v>
      </c>
    </row>
    <row r="1112" spans="1:16" x14ac:dyDescent="0.3">
      <c r="A1112" t="s">
        <v>1124</v>
      </c>
      <c r="B1112" s="3">
        <v>45347</v>
      </c>
      <c r="C1112" s="7" t="str">
        <f t="shared" si="34"/>
        <v>2024</v>
      </c>
      <c r="D1112" s="7" t="str">
        <f t="shared" si="35"/>
        <v>Feb</v>
      </c>
      <c r="E1112" s="6" t="s">
        <v>2315</v>
      </c>
      <c r="F1112" s="5" t="s">
        <v>2406</v>
      </c>
      <c r="G1112">
        <v>3</v>
      </c>
      <c r="H1112">
        <v>84.31</v>
      </c>
      <c r="I1112" s="6" t="s">
        <v>2443</v>
      </c>
      <c r="J1112" s="6" t="s">
        <v>3067</v>
      </c>
      <c r="K1112" s="6" t="s">
        <v>3070</v>
      </c>
      <c r="L1112" t="s">
        <v>4185</v>
      </c>
      <c r="M1112">
        <v>3</v>
      </c>
      <c r="N1112" t="s">
        <v>4275</v>
      </c>
      <c r="O1112" t="s">
        <v>4280</v>
      </c>
      <c r="P1112">
        <v>252.93</v>
      </c>
    </row>
    <row r="1113" spans="1:16" x14ac:dyDescent="0.3">
      <c r="A1113" t="s">
        <v>1125</v>
      </c>
      <c r="B1113" s="3">
        <v>45052</v>
      </c>
      <c r="C1113" s="7" t="str">
        <f t="shared" si="34"/>
        <v>2023</v>
      </c>
      <c r="D1113" s="7" t="str">
        <f t="shared" si="35"/>
        <v>May</v>
      </c>
      <c r="E1113" s="6" t="s">
        <v>2316</v>
      </c>
      <c r="F1113" s="5" t="s">
        <v>2403</v>
      </c>
      <c r="G1113">
        <v>4</v>
      </c>
      <c r="H1113">
        <v>234.45</v>
      </c>
      <c r="I1113" s="6" t="s">
        <v>3035</v>
      </c>
      <c r="J1113" s="6" t="s">
        <v>3066</v>
      </c>
      <c r="K1113" s="6" t="s">
        <v>3071</v>
      </c>
      <c r="L1113" t="s">
        <v>4186</v>
      </c>
      <c r="M1113">
        <v>9</v>
      </c>
      <c r="N1113" t="s">
        <v>4276</v>
      </c>
      <c r="O1113" t="s">
        <v>4278</v>
      </c>
      <c r="P1113">
        <v>937.8</v>
      </c>
    </row>
    <row r="1114" spans="1:16" x14ac:dyDescent="0.3">
      <c r="A1114" t="s">
        <v>1126</v>
      </c>
      <c r="B1114" s="3">
        <v>45212</v>
      </c>
      <c r="C1114" s="7" t="str">
        <f t="shared" si="34"/>
        <v>2023</v>
      </c>
      <c r="D1114" s="7" t="str">
        <f t="shared" si="35"/>
        <v>Oct</v>
      </c>
      <c r="E1114" s="6" t="s">
        <v>2317</v>
      </c>
      <c r="F1114" s="5" t="s">
        <v>2409</v>
      </c>
      <c r="G1114">
        <v>1</v>
      </c>
      <c r="H1114">
        <v>356.81</v>
      </c>
      <c r="I1114" s="6" t="s">
        <v>2526</v>
      </c>
      <c r="J1114" s="6" t="s">
        <v>3066</v>
      </c>
      <c r="K1114" s="6" t="s">
        <v>3073</v>
      </c>
      <c r="L1114" t="s">
        <v>4187</v>
      </c>
      <c r="M1114">
        <v>1</v>
      </c>
      <c r="N1114" t="s">
        <v>4277</v>
      </c>
      <c r="O1114" t="s">
        <v>4278</v>
      </c>
      <c r="P1114">
        <v>356.81</v>
      </c>
    </row>
    <row r="1115" spans="1:16" x14ac:dyDescent="0.3">
      <c r="A1115" t="s">
        <v>1127</v>
      </c>
      <c r="B1115" s="3">
        <v>45004</v>
      </c>
      <c r="C1115" s="7" t="str">
        <f t="shared" si="34"/>
        <v>2023</v>
      </c>
      <c r="D1115" s="7" t="str">
        <f t="shared" si="35"/>
        <v>Mar</v>
      </c>
      <c r="E1115" s="6" t="s">
        <v>2318</v>
      </c>
      <c r="F1115" s="5" t="s">
        <v>2409</v>
      </c>
      <c r="G1115">
        <v>4</v>
      </c>
      <c r="H1115">
        <v>209.99</v>
      </c>
      <c r="I1115" s="6" t="s">
        <v>2982</v>
      </c>
      <c r="J1115" s="6" t="s">
        <v>3069</v>
      </c>
      <c r="K1115" s="6" t="s">
        <v>3073</v>
      </c>
      <c r="L1115" t="s">
        <v>4188</v>
      </c>
      <c r="M1115">
        <v>8</v>
      </c>
      <c r="N1115" t="s">
        <v>4285</v>
      </c>
      <c r="O1115" t="s">
        <v>4282</v>
      </c>
      <c r="P1115">
        <v>839.96</v>
      </c>
    </row>
    <row r="1116" spans="1:16" x14ac:dyDescent="0.3">
      <c r="A1116" t="s">
        <v>1128</v>
      </c>
      <c r="B1116" s="3">
        <v>45001</v>
      </c>
      <c r="C1116" s="7" t="str">
        <f t="shared" si="34"/>
        <v>2023</v>
      </c>
      <c r="D1116" s="7" t="str">
        <f t="shared" si="35"/>
        <v>Mar</v>
      </c>
      <c r="E1116" s="6" t="s">
        <v>2319</v>
      </c>
      <c r="F1116" s="5" t="s">
        <v>2405</v>
      </c>
      <c r="G1116">
        <v>3</v>
      </c>
      <c r="H1116">
        <v>659.88</v>
      </c>
      <c r="I1116" s="6" t="s">
        <v>2591</v>
      </c>
      <c r="J1116" s="6" t="s">
        <v>3068</v>
      </c>
      <c r="K1116" s="6" t="s">
        <v>3071</v>
      </c>
      <c r="L1116" t="s">
        <v>4189</v>
      </c>
      <c r="M1116">
        <v>3</v>
      </c>
      <c r="N1116" t="s">
        <v>4285</v>
      </c>
      <c r="O1116" t="s">
        <v>4282</v>
      </c>
      <c r="P1116">
        <v>1979.64</v>
      </c>
    </row>
    <row r="1117" spans="1:16" x14ac:dyDescent="0.3">
      <c r="A1117" t="s">
        <v>1129</v>
      </c>
      <c r="B1117" s="3">
        <v>45828</v>
      </c>
      <c r="C1117" s="7" t="str">
        <f t="shared" si="34"/>
        <v>2025</v>
      </c>
      <c r="D1117" s="7" t="str">
        <f t="shared" si="35"/>
        <v>Jun</v>
      </c>
      <c r="E1117" s="6" t="s">
        <v>2320</v>
      </c>
      <c r="F1117" s="5" t="s">
        <v>2408</v>
      </c>
      <c r="G1117">
        <v>2</v>
      </c>
      <c r="H1117">
        <v>336.32</v>
      </c>
      <c r="I1117" s="6" t="s">
        <v>2613</v>
      </c>
      <c r="J1117" s="6" t="s">
        <v>3066</v>
      </c>
      <c r="K1117" s="6" t="s">
        <v>3072</v>
      </c>
      <c r="L1117" t="s">
        <v>4190</v>
      </c>
      <c r="M1117">
        <v>3</v>
      </c>
      <c r="N1117" t="s">
        <v>4285</v>
      </c>
      <c r="O1117" t="s">
        <v>4282</v>
      </c>
      <c r="P1117">
        <v>672.64</v>
      </c>
    </row>
    <row r="1118" spans="1:16" x14ac:dyDescent="0.3">
      <c r="A1118" t="s">
        <v>1130</v>
      </c>
      <c r="B1118" s="3">
        <v>45213</v>
      </c>
      <c r="C1118" s="7" t="str">
        <f t="shared" si="34"/>
        <v>2023</v>
      </c>
      <c r="D1118" s="7" t="str">
        <f t="shared" si="35"/>
        <v>Oct</v>
      </c>
      <c r="E1118" s="6" t="s">
        <v>2321</v>
      </c>
      <c r="F1118" s="5" t="s">
        <v>2407</v>
      </c>
      <c r="G1118">
        <v>2</v>
      </c>
      <c r="H1118">
        <v>531.49</v>
      </c>
      <c r="I1118" s="6" t="s">
        <v>2613</v>
      </c>
      <c r="J1118" s="6" t="s">
        <v>3067</v>
      </c>
      <c r="K1118" s="6" t="s">
        <v>3073</v>
      </c>
      <c r="L1118" t="s">
        <v>4191</v>
      </c>
      <c r="M1118">
        <v>7</v>
      </c>
      <c r="N1118" t="s">
        <v>4277</v>
      </c>
      <c r="O1118" t="s">
        <v>4281</v>
      </c>
      <c r="P1118">
        <v>1062.98</v>
      </c>
    </row>
    <row r="1119" spans="1:16" x14ac:dyDescent="0.3">
      <c r="A1119" t="s">
        <v>1131</v>
      </c>
      <c r="B1119" s="3">
        <v>45432</v>
      </c>
      <c r="C1119" s="7" t="str">
        <f t="shared" si="34"/>
        <v>2024</v>
      </c>
      <c r="D1119" s="7" t="str">
        <f t="shared" si="35"/>
        <v>May</v>
      </c>
      <c r="E1119" s="6" t="s">
        <v>2322</v>
      </c>
      <c r="F1119" s="5" t="s">
        <v>2406</v>
      </c>
      <c r="G1119">
        <v>3</v>
      </c>
      <c r="H1119">
        <v>588.44000000000005</v>
      </c>
      <c r="I1119" s="6" t="s">
        <v>2734</v>
      </c>
      <c r="J1119" s="6" t="s">
        <v>3068</v>
      </c>
      <c r="K1119" s="6" t="s">
        <v>3070</v>
      </c>
      <c r="L1119" t="s">
        <v>4192</v>
      </c>
      <c r="M1119">
        <v>8</v>
      </c>
      <c r="N1119" t="s">
        <v>4277</v>
      </c>
      <c r="O1119" t="s">
        <v>4282</v>
      </c>
      <c r="P1119">
        <v>1765.32</v>
      </c>
    </row>
    <row r="1120" spans="1:16" x14ac:dyDescent="0.3">
      <c r="A1120" t="s">
        <v>1132</v>
      </c>
      <c r="B1120" s="3">
        <v>45436</v>
      </c>
      <c r="C1120" s="7" t="str">
        <f t="shared" si="34"/>
        <v>2024</v>
      </c>
      <c r="D1120" s="7" t="str">
        <f t="shared" si="35"/>
        <v>May</v>
      </c>
      <c r="E1120" s="6" t="s">
        <v>2323</v>
      </c>
      <c r="F1120" s="5" t="s">
        <v>2404</v>
      </c>
      <c r="G1120">
        <v>3</v>
      </c>
      <c r="H1120">
        <v>251.48</v>
      </c>
      <c r="I1120" s="6" t="s">
        <v>2729</v>
      </c>
      <c r="J1120" s="6" t="s">
        <v>3067</v>
      </c>
      <c r="K1120" s="6" t="s">
        <v>3072</v>
      </c>
      <c r="L1120" t="s">
        <v>4193</v>
      </c>
      <c r="M1120">
        <v>4</v>
      </c>
      <c r="N1120" t="s">
        <v>4285</v>
      </c>
      <c r="O1120" t="s">
        <v>4280</v>
      </c>
      <c r="P1120">
        <v>754.43999999999994</v>
      </c>
    </row>
    <row r="1121" spans="1:16" x14ac:dyDescent="0.3">
      <c r="A1121" t="s">
        <v>1133</v>
      </c>
      <c r="B1121" s="3">
        <v>45620</v>
      </c>
      <c r="C1121" s="7" t="str">
        <f t="shared" si="34"/>
        <v>2024</v>
      </c>
      <c r="D1121" s="7" t="str">
        <f t="shared" si="35"/>
        <v>Nov</v>
      </c>
      <c r="E1121" s="6" t="s">
        <v>2324</v>
      </c>
      <c r="F1121" s="5" t="s">
        <v>2408</v>
      </c>
      <c r="G1121">
        <v>1</v>
      </c>
      <c r="H1121">
        <v>684.65</v>
      </c>
      <c r="I1121" s="6" t="s">
        <v>2634</v>
      </c>
      <c r="J1121" s="6" t="s">
        <v>3067</v>
      </c>
      <c r="K1121" s="6" t="s">
        <v>3073</v>
      </c>
      <c r="L1121" t="s">
        <v>4194</v>
      </c>
      <c r="M1121">
        <v>1</v>
      </c>
      <c r="N1121" t="s">
        <v>4276</v>
      </c>
      <c r="O1121" t="s">
        <v>4280</v>
      </c>
      <c r="P1121">
        <v>684.65</v>
      </c>
    </row>
    <row r="1122" spans="1:16" x14ac:dyDescent="0.3">
      <c r="A1122" t="s">
        <v>1134</v>
      </c>
      <c r="B1122" s="3">
        <v>45787</v>
      </c>
      <c r="C1122" s="7" t="str">
        <f t="shared" si="34"/>
        <v>2025</v>
      </c>
      <c r="D1122" s="7" t="str">
        <f t="shared" si="35"/>
        <v>May</v>
      </c>
      <c r="E1122" s="6" t="s">
        <v>2325</v>
      </c>
      <c r="F1122" s="5" t="s">
        <v>2405</v>
      </c>
      <c r="G1122">
        <v>1</v>
      </c>
      <c r="H1122">
        <v>195.86</v>
      </c>
      <c r="I1122" s="6" t="s">
        <v>2450</v>
      </c>
      <c r="J1122" s="6" t="s">
        <v>3066</v>
      </c>
      <c r="K1122" s="6" t="s">
        <v>3074</v>
      </c>
      <c r="L1122" t="s">
        <v>4195</v>
      </c>
      <c r="M1122">
        <v>3</v>
      </c>
      <c r="N1122" t="s">
        <v>4285</v>
      </c>
      <c r="O1122" t="s">
        <v>4281</v>
      </c>
      <c r="P1122">
        <v>195.86</v>
      </c>
    </row>
    <row r="1123" spans="1:16" x14ac:dyDescent="0.3">
      <c r="A1123" t="s">
        <v>1135</v>
      </c>
      <c r="B1123" s="3">
        <v>45074</v>
      </c>
      <c r="C1123" s="7" t="str">
        <f t="shared" si="34"/>
        <v>2023</v>
      </c>
      <c r="D1123" s="7" t="str">
        <f t="shared" si="35"/>
        <v>May</v>
      </c>
      <c r="E1123" s="6" t="s">
        <v>2326</v>
      </c>
      <c r="F1123" s="5" t="s">
        <v>2404</v>
      </c>
      <c r="G1123">
        <v>3</v>
      </c>
      <c r="H1123">
        <v>50.34</v>
      </c>
      <c r="I1123" s="6" t="s">
        <v>2965</v>
      </c>
      <c r="J1123" s="6" t="s">
        <v>3068</v>
      </c>
      <c r="K1123" s="6" t="s">
        <v>3072</v>
      </c>
      <c r="L1123" t="s">
        <v>4196</v>
      </c>
      <c r="M1123">
        <v>3</v>
      </c>
      <c r="N1123" t="s">
        <v>4276</v>
      </c>
      <c r="O1123" t="s">
        <v>4278</v>
      </c>
      <c r="P1123">
        <v>151.02000000000001</v>
      </c>
    </row>
    <row r="1124" spans="1:16" x14ac:dyDescent="0.3">
      <c r="A1124" t="s">
        <v>1136</v>
      </c>
      <c r="B1124" s="3">
        <v>45084</v>
      </c>
      <c r="C1124" s="7" t="str">
        <f t="shared" si="34"/>
        <v>2023</v>
      </c>
      <c r="D1124" s="7" t="str">
        <f t="shared" si="35"/>
        <v>Jun</v>
      </c>
      <c r="E1124" s="6" t="s">
        <v>1480</v>
      </c>
      <c r="F1124" s="5" t="s">
        <v>2403</v>
      </c>
      <c r="G1124">
        <v>5</v>
      </c>
      <c r="H1124">
        <v>678.19</v>
      </c>
      <c r="I1124" s="6" t="s">
        <v>3008</v>
      </c>
      <c r="J1124" s="6" t="s">
        <v>3066</v>
      </c>
      <c r="K1124" s="6" t="s">
        <v>3072</v>
      </c>
      <c r="L1124" t="s">
        <v>4197</v>
      </c>
      <c r="M1124">
        <v>8</v>
      </c>
      <c r="N1124" t="s">
        <v>4285</v>
      </c>
      <c r="O1124" t="s">
        <v>4281</v>
      </c>
      <c r="P1124">
        <v>3390.95</v>
      </c>
    </row>
    <row r="1125" spans="1:16" x14ac:dyDescent="0.3">
      <c r="A1125" t="s">
        <v>1137</v>
      </c>
      <c r="B1125" s="3">
        <v>45030</v>
      </c>
      <c r="C1125" s="7" t="str">
        <f t="shared" si="34"/>
        <v>2023</v>
      </c>
      <c r="D1125" s="7" t="str">
        <f t="shared" si="35"/>
        <v>Apr</v>
      </c>
      <c r="E1125" s="6" t="s">
        <v>2327</v>
      </c>
      <c r="F1125" s="5" t="s">
        <v>2405</v>
      </c>
      <c r="G1125">
        <v>3</v>
      </c>
      <c r="H1125">
        <v>554.25</v>
      </c>
      <c r="I1125" s="6" t="s">
        <v>3036</v>
      </c>
      <c r="J1125" s="6" t="s">
        <v>3065</v>
      </c>
      <c r="K1125" s="6" t="s">
        <v>3070</v>
      </c>
      <c r="L1125" t="s">
        <v>4198</v>
      </c>
      <c r="M1125">
        <v>6</v>
      </c>
      <c r="N1125" t="s">
        <v>4277</v>
      </c>
      <c r="O1125" t="s">
        <v>4279</v>
      </c>
      <c r="P1125">
        <v>1662.75</v>
      </c>
    </row>
    <row r="1126" spans="1:16" x14ac:dyDescent="0.3">
      <c r="A1126" t="s">
        <v>1138</v>
      </c>
      <c r="B1126" s="3">
        <v>45055</v>
      </c>
      <c r="C1126" s="7" t="str">
        <f t="shared" si="34"/>
        <v>2023</v>
      </c>
      <c r="D1126" s="7" t="str">
        <f t="shared" si="35"/>
        <v>May</v>
      </c>
      <c r="E1126" s="6" t="s">
        <v>2328</v>
      </c>
      <c r="F1126" s="5" t="s">
        <v>2406</v>
      </c>
      <c r="G1126">
        <v>4</v>
      </c>
      <c r="H1126">
        <v>576.87</v>
      </c>
      <c r="I1126" s="6" t="s">
        <v>3037</v>
      </c>
      <c r="J1126" s="6" t="s">
        <v>3068</v>
      </c>
      <c r="K1126" s="6" t="s">
        <v>3072</v>
      </c>
      <c r="L1126" t="s">
        <v>4199</v>
      </c>
      <c r="M1126">
        <v>5</v>
      </c>
      <c r="N1126" t="s">
        <v>4285</v>
      </c>
      <c r="O1126" t="s">
        <v>4278</v>
      </c>
      <c r="P1126">
        <v>2307.48</v>
      </c>
    </row>
    <row r="1127" spans="1:16" x14ac:dyDescent="0.3">
      <c r="A1127" t="s">
        <v>1139</v>
      </c>
      <c r="B1127" s="3">
        <v>45215</v>
      </c>
      <c r="C1127" s="7" t="str">
        <f t="shared" si="34"/>
        <v>2023</v>
      </c>
      <c r="D1127" s="7" t="str">
        <f t="shared" si="35"/>
        <v>Oct</v>
      </c>
      <c r="E1127" s="6" t="s">
        <v>2329</v>
      </c>
      <c r="F1127" s="5" t="s">
        <v>2409</v>
      </c>
      <c r="G1127">
        <v>4</v>
      </c>
      <c r="H1127">
        <v>408.36</v>
      </c>
      <c r="I1127" s="6" t="s">
        <v>2958</v>
      </c>
      <c r="J1127" s="6" t="s">
        <v>3068</v>
      </c>
      <c r="K1127" s="6" t="s">
        <v>3071</v>
      </c>
      <c r="L1127" t="s">
        <v>4200</v>
      </c>
      <c r="M1127">
        <v>4</v>
      </c>
      <c r="N1127" t="s">
        <v>4276</v>
      </c>
      <c r="O1127" t="s">
        <v>4279</v>
      </c>
      <c r="P1127">
        <v>1633.44</v>
      </c>
    </row>
    <row r="1128" spans="1:16" x14ac:dyDescent="0.3">
      <c r="A1128" t="s">
        <v>1140</v>
      </c>
      <c r="B1128" s="3">
        <v>45495</v>
      </c>
      <c r="C1128" s="7" t="str">
        <f t="shared" si="34"/>
        <v>2024</v>
      </c>
      <c r="D1128" s="7" t="str">
        <f t="shared" si="35"/>
        <v>Jul</v>
      </c>
      <c r="E1128" s="6" t="s">
        <v>2330</v>
      </c>
      <c r="F1128" s="5" t="s">
        <v>2404</v>
      </c>
      <c r="G1128">
        <v>5</v>
      </c>
      <c r="H1128">
        <v>190.11</v>
      </c>
      <c r="I1128" s="6" t="s">
        <v>3038</v>
      </c>
      <c r="J1128" s="6" t="s">
        <v>3069</v>
      </c>
      <c r="K1128" s="6" t="s">
        <v>3073</v>
      </c>
      <c r="L1128" t="s">
        <v>4201</v>
      </c>
      <c r="M1128">
        <v>7</v>
      </c>
      <c r="N1128" t="s">
        <v>4275</v>
      </c>
      <c r="O1128" t="s">
        <v>4282</v>
      </c>
      <c r="P1128">
        <v>950.55000000000007</v>
      </c>
    </row>
    <row r="1129" spans="1:16" x14ac:dyDescent="0.3">
      <c r="A1129" t="s">
        <v>1141</v>
      </c>
      <c r="B1129" s="3">
        <v>45731</v>
      </c>
      <c r="C1129" s="7" t="str">
        <f t="shared" si="34"/>
        <v>2025</v>
      </c>
      <c r="D1129" s="7" t="str">
        <f t="shared" si="35"/>
        <v>Mar</v>
      </c>
      <c r="E1129" s="6" t="s">
        <v>2331</v>
      </c>
      <c r="F1129" s="5" t="s">
        <v>2407</v>
      </c>
      <c r="G1129">
        <v>3</v>
      </c>
      <c r="H1129">
        <v>602.75</v>
      </c>
      <c r="I1129" s="6" t="s">
        <v>2939</v>
      </c>
      <c r="J1129" s="6" t="s">
        <v>3067</v>
      </c>
      <c r="K1129" s="6" t="s">
        <v>3070</v>
      </c>
      <c r="L1129" t="s">
        <v>4202</v>
      </c>
      <c r="M1129">
        <v>6</v>
      </c>
      <c r="N1129" t="s">
        <v>4275</v>
      </c>
      <c r="O1129" t="s">
        <v>4280</v>
      </c>
      <c r="P1129">
        <v>1808.25</v>
      </c>
    </row>
    <row r="1130" spans="1:16" x14ac:dyDescent="0.3">
      <c r="A1130" t="s">
        <v>1142</v>
      </c>
      <c r="B1130" s="3">
        <v>45155</v>
      </c>
      <c r="C1130" s="7" t="str">
        <f t="shared" si="34"/>
        <v>2023</v>
      </c>
      <c r="D1130" s="7" t="str">
        <f t="shared" si="35"/>
        <v>Aug</v>
      </c>
      <c r="E1130" s="6" t="s">
        <v>2332</v>
      </c>
      <c r="F1130" s="5" t="s">
        <v>2403</v>
      </c>
      <c r="G1130">
        <v>3</v>
      </c>
      <c r="H1130">
        <v>646.79</v>
      </c>
      <c r="I1130" s="6" t="s">
        <v>2490</v>
      </c>
      <c r="J1130" s="6" t="s">
        <v>3069</v>
      </c>
      <c r="K1130" s="6" t="s">
        <v>3071</v>
      </c>
      <c r="L1130" t="s">
        <v>4203</v>
      </c>
      <c r="M1130">
        <v>5</v>
      </c>
      <c r="N1130" t="s">
        <v>4277</v>
      </c>
      <c r="O1130" t="s">
        <v>4282</v>
      </c>
      <c r="P1130">
        <v>1940.37</v>
      </c>
    </row>
    <row r="1131" spans="1:16" x14ac:dyDescent="0.3">
      <c r="A1131" t="s">
        <v>1143</v>
      </c>
      <c r="B1131" s="3">
        <v>45088</v>
      </c>
      <c r="C1131" s="7" t="str">
        <f t="shared" si="34"/>
        <v>2023</v>
      </c>
      <c r="D1131" s="7" t="str">
        <f t="shared" si="35"/>
        <v>Jun</v>
      </c>
      <c r="E1131" s="6" t="s">
        <v>2333</v>
      </c>
      <c r="F1131" s="5" t="s">
        <v>2406</v>
      </c>
      <c r="G1131">
        <v>4</v>
      </c>
      <c r="H1131">
        <v>418.71</v>
      </c>
      <c r="I1131" s="6" t="s">
        <v>2480</v>
      </c>
      <c r="J1131" s="6" t="s">
        <v>3069</v>
      </c>
      <c r="K1131" s="6" t="s">
        <v>3074</v>
      </c>
      <c r="L1131" t="s">
        <v>4204</v>
      </c>
      <c r="M1131">
        <v>8</v>
      </c>
      <c r="N1131" t="s">
        <v>4276</v>
      </c>
      <c r="O1131" t="s">
        <v>4278</v>
      </c>
      <c r="P1131">
        <v>1674.84</v>
      </c>
    </row>
    <row r="1132" spans="1:16" x14ac:dyDescent="0.3">
      <c r="A1132" t="s">
        <v>1144</v>
      </c>
      <c r="B1132" s="3">
        <v>45704</v>
      </c>
      <c r="C1132" s="7" t="str">
        <f t="shared" si="34"/>
        <v>2025</v>
      </c>
      <c r="D1132" s="7" t="str">
        <f t="shared" si="35"/>
        <v>Feb</v>
      </c>
      <c r="E1132" s="6" t="s">
        <v>2334</v>
      </c>
      <c r="F1132" s="5" t="s">
        <v>2408</v>
      </c>
      <c r="G1132">
        <v>2</v>
      </c>
      <c r="H1132">
        <v>323.45</v>
      </c>
      <c r="I1132" s="6" t="s">
        <v>2501</v>
      </c>
      <c r="J1132" s="6" t="s">
        <v>3067</v>
      </c>
      <c r="K1132" s="6" t="s">
        <v>3072</v>
      </c>
      <c r="L1132" t="s">
        <v>4205</v>
      </c>
      <c r="M1132">
        <v>5</v>
      </c>
      <c r="N1132" t="s">
        <v>4276</v>
      </c>
      <c r="O1132" t="s">
        <v>4278</v>
      </c>
      <c r="P1132">
        <v>646.9</v>
      </c>
    </row>
    <row r="1133" spans="1:16" x14ac:dyDescent="0.3">
      <c r="A1133" t="s">
        <v>1145</v>
      </c>
      <c r="B1133" s="3">
        <v>45491</v>
      </c>
      <c r="C1133" s="7" t="str">
        <f t="shared" si="34"/>
        <v>2024</v>
      </c>
      <c r="D1133" s="7" t="str">
        <f t="shared" si="35"/>
        <v>Jul</v>
      </c>
      <c r="E1133" s="6" t="s">
        <v>2335</v>
      </c>
      <c r="F1133" s="5" t="s">
        <v>2404</v>
      </c>
      <c r="G1133">
        <v>1</v>
      </c>
      <c r="H1133">
        <v>694.5</v>
      </c>
      <c r="I1133" s="6" t="s">
        <v>2651</v>
      </c>
      <c r="J1133" s="6" t="s">
        <v>3067</v>
      </c>
      <c r="K1133" s="6" t="s">
        <v>3074</v>
      </c>
      <c r="L1133" t="s">
        <v>4206</v>
      </c>
      <c r="M1133">
        <v>3</v>
      </c>
      <c r="N1133" t="s">
        <v>4277</v>
      </c>
      <c r="O1133" t="s">
        <v>4281</v>
      </c>
      <c r="P1133">
        <v>694.5</v>
      </c>
    </row>
    <row r="1134" spans="1:16" x14ac:dyDescent="0.3">
      <c r="A1134" t="s">
        <v>1146</v>
      </c>
      <c r="B1134" s="3">
        <v>45628</v>
      </c>
      <c r="C1134" s="7" t="str">
        <f t="shared" si="34"/>
        <v>2024</v>
      </c>
      <c r="D1134" s="7" t="str">
        <f t="shared" si="35"/>
        <v>Dec</v>
      </c>
      <c r="E1134" s="6" t="s">
        <v>2336</v>
      </c>
      <c r="F1134" s="5" t="s">
        <v>2406</v>
      </c>
      <c r="G1134">
        <v>2</v>
      </c>
      <c r="H1134">
        <v>337.32</v>
      </c>
      <c r="I1134" s="6" t="s">
        <v>2608</v>
      </c>
      <c r="J1134" s="6" t="s">
        <v>3067</v>
      </c>
      <c r="K1134" s="6" t="s">
        <v>3071</v>
      </c>
      <c r="L1134" t="s">
        <v>4207</v>
      </c>
      <c r="M1134">
        <v>4</v>
      </c>
      <c r="N1134" t="s">
        <v>4275</v>
      </c>
      <c r="O1134" t="s">
        <v>4280</v>
      </c>
      <c r="P1134">
        <v>674.64</v>
      </c>
    </row>
    <row r="1135" spans="1:16" x14ac:dyDescent="0.3">
      <c r="A1135" t="s">
        <v>1147</v>
      </c>
      <c r="B1135" s="3">
        <v>45391</v>
      </c>
      <c r="C1135" s="7" t="str">
        <f t="shared" si="34"/>
        <v>2024</v>
      </c>
      <c r="D1135" s="7" t="str">
        <f t="shared" si="35"/>
        <v>Apr</v>
      </c>
      <c r="E1135" s="6" t="s">
        <v>2337</v>
      </c>
      <c r="F1135" s="5" t="s">
        <v>2407</v>
      </c>
      <c r="G1135">
        <v>2</v>
      </c>
      <c r="H1135">
        <v>467.91</v>
      </c>
      <c r="I1135" s="6" t="s">
        <v>2597</v>
      </c>
      <c r="J1135" s="6" t="s">
        <v>3068</v>
      </c>
      <c r="K1135" s="6" t="s">
        <v>3072</v>
      </c>
      <c r="L1135" t="s">
        <v>4208</v>
      </c>
      <c r="M1135">
        <v>5</v>
      </c>
      <c r="N1135" t="s">
        <v>4277</v>
      </c>
      <c r="O1135" t="s">
        <v>4281</v>
      </c>
      <c r="P1135">
        <v>935.82</v>
      </c>
    </row>
    <row r="1136" spans="1:16" x14ac:dyDescent="0.3">
      <c r="A1136" t="s">
        <v>1148</v>
      </c>
      <c r="B1136" s="3">
        <v>45451</v>
      </c>
      <c r="C1136" s="7" t="str">
        <f t="shared" si="34"/>
        <v>2024</v>
      </c>
      <c r="D1136" s="7" t="str">
        <f t="shared" si="35"/>
        <v>Jun</v>
      </c>
      <c r="E1136" s="6" t="s">
        <v>2338</v>
      </c>
      <c r="F1136" s="5" t="s">
        <v>2409</v>
      </c>
      <c r="G1136">
        <v>4</v>
      </c>
      <c r="H1136">
        <v>38.28</v>
      </c>
      <c r="I1136" s="6" t="s">
        <v>3039</v>
      </c>
      <c r="J1136" s="6" t="s">
        <v>3065</v>
      </c>
      <c r="K1136" s="6" t="s">
        <v>3071</v>
      </c>
      <c r="L1136" t="s">
        <v>4209</v>
      </c>
      <c r="M1136">
        <v>4</v>
      </c>
      <c r="N1136" t="s">
        <v>4277</v>
      </c>
      <c r="O1136" t="s">
        <v>4281</v>
      </c>
      <c r="P1136">
        <v>153.12</v>
      </c>
    </row>
    <row r="1137" spans="1:16" x14ac:dyDescent="0.3">
      <c r="A1137" t="s">
        <v>1149</v>
      </c>
      <c r="B1137" s="3">
        <v>45288</v>
      </c>
      <c r="C1137" s="7" t="str">
        <f t="shared" si="34"/>
        <v>2023</v>
      </c>
      <c r="D1137" s="7" t="str">
        <f t="shared" si="35"/>
        <v>Dec</v>
      </c>
      <c r="E1137" s="6" t="s">
        <v>2339</v>
      </c>
      <c r="F1137" s="5" t="s">
        <v>2407</v>
      </c>
      <c r="G1137">
        <v>2</v>
      </c>
      <c r="H1137">
        <v>73.41</v>
      </c>
      <c r="I1137" s="6" t="s">
        <v>2613</v>
      </c>
      <c r="J1137" s="6" t="s">
        <v>3066</v>
      </c>
      <c r="K1137" s="6" t="s">
        <v>3070</v>
      </c>
      <c r="L1137" t="s">
        <v>4210</v>
      </c>
      <c r="M1137">
        <v>2</v>
      </c>
      <c r="N1137" t="s">
        <v>4275</v>
      </c>
      <c r="O1137" t="s">
        <v>4282</v>
      </c>
      <c r="P1137">
        <v>146.82</v>
      </c>
    </row>
    <row r="1138" spans="1:16" x14ac:dyDescent="0.3">
      <c r="A1138" t="s">
        <v>1150</v>
      </c>
      <c r="B1138" s="3">
        <v>45193</v>
      </c>
      <c r="C1138" s="7" t="str">
        <f t="shared" si="34"/>
        <v>2023</v>
      </c>
      <c r="D1138" s="7" t="str">
        <f t="shared" si="35"/>
        <v>Sept</v>
      </c>
      <c r="E1138" s="6" t="s">
        <v>2340</v>
      </c>
      <c r="F1138" s="5" t="s">
        <v>2405</v>
      </c>
      <c r="G1138">
        <v>3</v>
      </c>
      <c r="H1138">
        <v>668.33</v>
      </c>
      <c r="I1138" s="6" t="s">
        <v>2882</v>
      </c>
      <c r="J1138" s="6" t="s">
        <v>3068</v>
      </c>
      <c r="K1138" s="6" t="s">
        <v>3074</v>
      </c>
      <c r="L1138" t="s">
        <v>4211</v>
      </c>
      <c r="M1138">
        <v>4</v>
      </c>
      <c r="N1138" t="s">
        <v>4277</v>
      </c>
      <c r="O1138" t="s">
        <v>4281</v>
      </c>
      <c r="P1138">
        <v>2004.99</v>
      </c>
    </row>
    <row r="1139" spans="1:16" x14ac:dyDescent="0.3">
      <c r="A1139" t="s">
        <v>1151</v>
      </c>
      <c r="B1139" s="3">
        <v>45502</v>
      </c>
      <c r="C1139" s="7" t="str">
        <f t="shared" si="34"/>
        <v>2024</v>
      </c>
      <c r="D1139" s="7" t="str">
        <f t="shared" si="35"/>
        <v>Jul</v>
      </c>
      <c r="E1139" s="6" t="s">
        <v>2341</v>
      </c>
      <c r="F1139" s="5" t="s">
        <v>2407</v>
      </c>
      <c r="G1139">
        <v>4</v>
      </c>
      <c r="H1139">
        <v>410.21</v>
      </c>
      <c r="I1139" s="6" t="s">
        <v>3040</v>
      </c>
      <c r="J1139" s="6" t="s">
        <v>3069</v>
      </c>
      <c r="K1139" s="6" t="s">
        <v>3074</v>
      </c>
      <c r="L1139" t="s">
        <v>4212</v>
      </c>
      <c r="M1139">
        <v>5</v>
      </c>
      <c r="N1139" t="s">
        <v>4277</v>
      </c>
      <c r="O1139" t="s">
        <v>4278</v>
      </c>
      <c r="P1139">
        <v>1640.84</v>
      </c>
    </row>
    <row r="1140" spans="1:16" x14ac:dyDescent="0.3">
      <c r="A1140" t="s">
        <v>1152</v>
      </c>
      <c r="B1140" s="3">
        <v>45278</v>
      </c>
      <c r="C1140" s="7" t="str">
        <f t="shared" si="34"/>
        <v>2023</v>
      </c>
      <c r="D1140" s="7" t="str">
        <f t="shared" si="35"/>
        <v>Dec</v>
      </c>
      <c r="E1140" s="6" t="s">
        <v>2342</v>
      </c>
      <c r="F1140" s="5" t="s">
        <v>2409</v>
      </c>
      <c r="G1140">
        <v>4</v>
      </c>
      <c r="H1140">
        <v>294.41000000000003</v>
      </c>
      <c r="I1140" s="6" t="s">
        <v>2865</v>
      </c>
      <c r="J1140" s="6" t="s">
        <v>3065</v>
      </c>
      <c r="K1140" s="6" t="s">
        <v>3074</v>
      </c>
      <c r="L1140" t="s">
        <v>4213</v>
      </c>
      <c r="M1140">
        <v>4</v>
      </c>
      <c r="N1140" t="s">
        <v>4285</v>
      </c>
      <c r="O1140" t="s">
        <v>4278</v>
      </c>
      <c r="P1140">
        <v>1177.6400000000001</v>
      </c>
    </row>
    <row r="1141" spans="1:16" x14ac:dyDescent="0.3">
      <c r="A1141" t="s">
        <v>1153</v>
      </c>
      <c r="B1141" s="3">
        <v>45717</v>
      </c>
      <c r="C1141" s="7" t="str">
        <f t="shared" si="34"/>
        <v>2025</v>
      </c>
      <c r="D1141" s="7" t="str">
        <f t="shared" si="35"/>
        <v>Mar</v>
      </c>
      <c r="E1141" s="6" t="s">
        <v>2256</v>
      </c>
      <c r="F1141" s="5" t="s">
        <v>2406</v>
      </c>
      <c r="G1141">
        <v>3</v>
      </c>
      <c r="H1141">
        <v>501.82</v>
      </c>
      <c r="I1141" s="6" t="s">
        <v>2438</v>
      </c>
      <c r="J1141" s="6" t="s">
        <v>3068</v>
      </c>
      <c r="K1141" s="6" t="s">
        <v>3071</v>
      </c>
      <c r="L1141" t="s">
        <v>4214</v>
      </c>
      <c r="M1141">
        <v>4</v>
      </c>
      <c r="N1141" t="s">
        <v>4276</v>
      </c>
      <c r="O1141" t="s">
        <v>4280</v>
      </c>
      <c r="P1141">
        <v>1505.46</v>
      </c>
    </row>
    <row r="1142" spans="1:16" x14ac:dyDescent="0.3">
      <c r="A1142" t="s">
        <v>1154</v>
      </c>
      <c r="B1142" s="3">
        <v>45467</v>
      </c>
      <c r="C1142" s="7" t="str">
        <f t="shared" si="34"/>
        <v>2024</v>
      </c>
      <c r="D1142" s="7" t="str">
        <f t="shared" si="35"/>
        <v>Jun</v>
      </c>
      <c r="E1142" s="6" t="s">
        <v>2343</v>
      </c>
      <c r="F1142" s="5" t="s">
        <v>2407</v>
      </c>
      <c r="G1142">
        <v>2</v>
      </c>
      <c r="H1142">
        <v>552.83000000000004</v>
      </c>
      <c r="I1142" s="6" t="s">
        <v>2418</v>
      </c>
      <c r="J1142" s="6" t="s">
        <v>3067</v>
      </c>
      <c r="K1142" s="6" t="s">
        <v>3071</v>
      </c>
      <c r="L1142" t="s">
        <v>4215</v>
      </c>
      <c r="M1142">
        <v>3</v>
      </c>
      <c r="N1142" t="s">
        <v>4285</v>
      </c>
      <c r="O1142" t="s">
        <v>4279</v>
      </c>
      <c r="P1142">
        <v>1105.6600000000001</v>
      </c>
    </row>
    <row r="1143" spans="1:16" x14ac:dyDescent="0.3">
      <c r="A1143" t="s">
        <v>1155</v>
      </c>
      <c r="B1143" s="3">
        <v>45704</v>
      </c>
      <c r="C1143" s="7" t="str">
        <f t="shared" si="34"/>
        <v>2025</v>
      </c>
      <c r="D1143" s="7" t="str">
        <f t="shared" si="35"/>
        <v>Feb</v>
      </c>
      <c r="E1143" s="6" t="s">
        <v>2344</v>
      </c>
      <c r="F1143" s="5" t="s">
        <v>2406</v>
      </c>
      <c r="G1143">
        <v>3</v>
      </c>
      <c r="H1143">
        <v>498.66</v>
      </c>
      <c r="I1143" s="6" t="s">
        <v>2427</v>
      </c>
      <c r="J1143" s="6" t="s">
        <v>3069</v>
      </c>
      <c r="K1143" s="6" t="s">
        <v>3071</v>
      </c>
      <c r="L1143" t="s">
        <v>4216</v>
      </c>
      <c r="M1143">
        <v>6</v>
      </c>
      <c r="N1143" t="s">
        <v>4285</v>
      </c>
      <c r="O1143" t="s">
        <v>4280</v>
      </c>
      <c r="P1143">
        <v>1495.98</v>
      </c>
    </row>
    <row r="1144" spans="1:16" x14ac:dyDescent="0.3">
      <c r="A1144" t="s">
        <v>1156</v>
      </c>
      <c r="B1144" s="3">
        <v>45527</v>
      </c>
      <c r="C1144" s="7" t="str">
        <f t="shared" si="34"/>
        <v>2024</v>
      </c>
      <c r="D1144" s="7" t="str">
        <f t="shared" si="35"/>
        <v>Aug</v>
      </c>
      <c r="E1144" s="6" t="s">
        <v>2345</v>
      </c>
      <c r="F1144" s="5" t="s">
        <v>2404</v>
      </c>
      <c r="G1144">
        <v>4</v>
      </c>
      <c r="H1144">
        <v>695.1</v>
      </c>
      <c r="I1144" s="6" t="s">
        <v>3041</v>
      </c>
      <c r="J1144" s="6" t="s">
        <v>3065</v>
      </c>
      <c r="K1144" s="6" t="s">
        <v>3072</v>
      </c>
      <c r="L1144" t="s">
        <v>4217</v>
      </c>
      <c r="M1144">
        <v>8</v>
      </c>
      <c r="N1144" t="s">
        <v>4285</v>
      </c>
      <c r="O1144" t="s">
        <v>4280</v>
      </c>
      <c r="P1144">
        <v>2780.4</v>
      </c>
    </row>
    <row r="1145" spans="1:16" x14ac:dyDescent="0.3">
      <c r="A1145" t="s">
        <v>1157</v>
      </c>
      <c r="B1145" s="3">
        <v>45019</v>
      </c>
      <c r="C1145" s="7" t="str">
        <f t="shared" si="34"/>
        <v>2023</v>
      </c>
      <c r="D1145" s="7" t="str">
        <f t="shared" si="35"/>
        <v>Apr</v>
      </c>
      <c r="E1145" s="6" t="s">
        <v>2346</v>
      </c>
      <c r="F1145" s="5" t="s">
        <v>2406</v>
      </c>
      <c r="G1145">
        <v>1</v>
      </c>
      <c r="H1145">
        <v>381.61</v>
      </c>
      <c r="I1145" s="6" t="s">
        <v>3042</v>
      </c>
      <c r="J1145" s="6" t="s">
        <v>3065</v>
      </c>
      <c r="K1145" s="6" t="s">
        <v>3074</v>
      </c>
      <c r="L1145" t="s">
        <v>4218</v>
      </c>
      <c r="M1145">
        <v>5</v>
      </c>
      <c r="N1145" t="s">
        <v>4285</v>
      </c>
      <c r="O1145" t="s">
        <v>4280</v>
      </c>
      <c r="P1145">
        <v>381.61</v>
      </c>
    </row>
    <row r="1146" spans="1:16" x14ac:dyDescent="0.3">
      <c r="A1146" t="s">
        <v>1158</v>
      </c>
      <c r="B1146" s="3">
        <v>44973</v>
      </c>
      <c r="C1146" s="7" t="str">
        <f t="shared" si="34"/>
        <v>2023</v>
      </c>
      <c r="D1146" s="7" t="str">
        <f t="shared" si="35"/>
        <v>Feb</v>
      </c>
      <c r="E1146" s="6" t="s">
        <v>2347</v>
      </c>
      <c r="F1146" s="5" t="s">
        <v>2409</v>
      </c>
      <c r="G1146">
        <v>5</v>
      </c>
      <c r="H1146">
        <v>507.94</v>
      </c>
      <c r="I1146" s="6" t="s">
        <v>3043</v>
      </c>
      <c r="J1146" s="6" t="s">
        <v>3066</v>
      </c>
      <c r="K1146" s="6" t="s">
        <v>3071</v>
      </c>
      <c r="L1146" t="s">
        <v>4219</v>
      </c>
      <c r="M1146">
        <v>9</v>
      </c>
      <c r="N1146" t="s">
        <v>4285</v>
      </c>
      <c r="O1146" t="s">
        <v>4281</v>
      </c>
      <c r="P1146">
        <v>2539.6999999999998</v>
      </c>
    </row>
    <row r="1147" spans="1:16" x14ac:dyDescent="0.3">
      <c r="A1147" t="s">
        <v>1159</v>
      </c>
      <c r="B1147" s="3">
        <v>45789</v>
      </c>
      <c r="C1147" s="7" t="str">
        <f t="shared" si="34"/>
        <v>2025</v>
      </c>
      <c r="D1147" s="7" t="str">
        <f t="shared" si="35"/>
        <v>May</v>
      </c>
      <c r="E1147" s="6" t="s">
        <v>2348</v>
      </c>
      <c r="F1147" s="5" t="s">
        <v>2409</v>
      </c>
      <c r="G1147">
        <v>3</v>
      </c>
      <c r="H1147">
        <v>571.53</v>
      </c>
      <c r="I1147" s="6" t="s">
        <v>2628</v>
      </c>
      <c r="J1147" s="6" t="s">
        <v>3065</v>
      </c>
      <c r="K1147" s="6" t="s">
        <v>3073</v>
      </c>
      <c r="L1147" t="s">
        <v>4220</v>
      </c>
      <c r="M1147">
        <v>6</v>
      </c>
      <c r="N1147" t="s">
        <v>4276</v>
      </c>
      <c r="O1147" t="s">
        <v>4281</v>
      </c>
      <c r="P1147">
        <v>1714.59</v>
      </c>
    </row>
    <row r="1148" spans="1:16" x14ac:dyDescent="0.3">
      <c r="A1148" t="s">
        <v>1160</v>
      </c>
      <c r="B1148" s="3">
        <v>45568</v>
      </c>
      <c r="C1148" s="7" t="str">
        <f t="shared" si="34"/>
        <v>2024</v>
      </c>
      <c r="D1148" s="7" t="str">
        <f t="shared" si="35"/>
        <v>Oct</v>
      </c>
      <c r="E1148" s="6" t="s">
        <v>2349</v>
      </c>
      <c r="F1148" s="5" t="s">
        <v>2403</v>
      </c>
      <c r="G1148">
        <v>5</v>
      </c>
      <c r="H1148">
        <v>421.44</v>
      </c>
      <c r="I1148" s="6" t="s">
        <v>2761</v>
      </c>
      <c r="J1148" s="6" t="s">
        <v>3069</v>
      </c>
      <c r="K1148" s="6" t="s">
        <v>3074</v>
      </c>
      <c r="L1148" t="s">
        <v>4221</v>
      </c>
      <c r="M1148">
        <v>5</v>
      </c>
      <c r="N1148" t="s">
        <v>4275</v>
      </c>
      <c r="O1148" t="s">
        <v>4278</v>
      </c>
      <c r="P1148">
        <v>2107.1999999999998</v>
      </c>
    </row>
    <row r="1149" spans="1:16" x14ac:dyDescent="0.3">
      <c r="A1149" t="s">
        <v>1161</v>
      </c>
      <c r="B1149" s="3">
        <v>45659</v>
      </c>
      <c r="C1149" s="7" t="str">
        <f t="shared" si="34"/>
        <v>2025</v>
      </c>
      <c r="D1149" s="7" t="str">
        <f t="shared" si="35"/>
        <v>Jan</v>
      </c>
      <c r="E1149" s="6" t="s">
        <v>2350</v>
      </c>
      <c r="F1149" s="5" t="s">
        <v>2406</v>
      </c>
      <c r="G1149">
        <v>2</v>
      </c>
      <c r="H1149">
        <v>588.29999999999995</v>
      </c>
      <c r="I1149" s="6" t="s">
        <v>3044</v>
      </c>
      <c r="J1149" s="6" t="s">
        <v>3066</v>
      </c>
      <c r="K1149" s="6" t="s">
        <v>3074</v>
      </c>
      <c r="L1149" t="s">
        <v>4222</v>
      </c>
      <c r="M1149">
        <v>2</v>
      </c>
      <c r="N1149" t="s">
        <v>4276</v>
      </c>
      <c r="O1149" t="s">
        <v>4280</v>
      </c>
      <c r="P1149">
        <v>1176.5999999999999</v>
      </c>
    </row>
    <row r="1150" spans="1:16" x14ac:dyDescent="0.3">
      <c r="A1150" t="s">
        <v>1162</v>
      </c>
      <c r="B1150" s="3">
        <v>45468</v>
      </c>
      <c r="C1150" s="7" t="str">
        <f t="shared" si="34"/>
        <v>2024</v>
      </c>
      <c r="D1150" s="7" t="str">
        <f t="shared" si="35"/>
        <v>Jun</v>
      </c>
      <c r="E1150" s="6" t="s">
        <v>2351</v>
      </c>
      <c r="F1150" s="5" t="s">
        <v>2404</v>
      </c>
      <c r="G1150">
        <v>1</v>
      </c>
      <c r="H1150">
        <v>355.15</v>
      </c>
      <c r="I1150" s="6" t="s">
        <v>3045</v>
      </c>
      <c r="J1150" s="6" t="s">
        <v>3069</v>
      </c>
      <c r="K1150" s="6" t="s">
        <v>3072</v>
      </c>
      <c r="L1150" t="s">
        <v>4223</v>
      </c>
      <c r="M1150">
        <v>2</v>
      </c>
      <c r="N1150" t="s">
        <v>4275</v>
      </c>
      <c r="O1150" t="s">
        <v>4280</v>
      </c>
      <c r="P1150">
        <v>355.15</v>
      </c>
    </row>
    <row r="1151" spans="1:16" x14ac:dyDescent="0.3">
      <c r="A1151" t="s">
        <v>1163</v>
      </c>
      <c r="B1151" s="3">
        <v>45498</v>
      </c>
      <c r="C1151" s="7" t="str">
        <f t="shared" si="34"/>
        <v>2024</v>
      </c>
      <c r="D1151" s="7" t="str">
        <f t="shared" si="35"/>
        <v>Jul</v>
      </c>
      <c r="E1151" s="6" t="s">
        <v>2352</v>
      </c>
      <c r="F1151" s="5" t="s">
        <v>2406</v>
      </c>
      <c r="G1151">
        <v>2</v>
      </c>
      <c r="H1151">
        <v>695.29</v>
      </c>
      <c r="I1151" s="6" t="s">
        <v>3046</v>
      </c>
      <c r="J1151" s="6" t="s">
        <v>3067</v>
      </c>
      <c r="K1151" s="6" t="s">
        <v>3074</v>
      </c>
      <c r="L1151" t="s">
        <v>4224</v>
      </c>
      <c r="M1151">
        <v>6</v>
      </c>
      <c r="N1151" t="s">
        <v>4276</v>
      </c>
      <c r="O1151" t="s">
        <v>4278</v>
      </c>
      <c r="P1151">
        <v>1390.58</v>
      </c>
    </row>
    <row r="1152" spans="1:16" x14ac:dyDescent="0.3">
      <c r="A1152" t="s">
        <v>1164</v>
      </c>
      <c r="B1152" s="3">
        <v>44977</v>
      </c>
      <c r="C1152" s="7" t="str">
        <f t="shared" si="34"/>
        <v>2023</v>
      </c>
      <c r="D1152" s="7" t="str">
        <f t="shared" si="35"/>
        <v>Feb</v>
      </c>
      <c r="E1152" s="6" t="s">
        <v>2353</v>
      </c>
      <c r="F1152" s="5" t="s">
        <v>2409</v>
      </c>
      <c r="G1152">
        <v>4</v>
      </c>
      <c r="H1152">
        <v>302.64999999999998</v>
      </c>
      <c r="I1152" s="6" t="s">
        <v>2642</v>
      </c>
      <c r="J1152" s="6" t="s">
        <v>3067</v>
      </c>
      <c r="K1152" s="6" t="s">
        <v>3071</v>
      </c>
      <c r="L1152" t="s">
        <v>4225</v>
      </c>
      <c r="M1152">
        <v>8</v>
      </c>
      <c r="N1152" t="s">
        <v>4275</v>
      </c>
      <c r="O1152" t="s">
        <v>4279</v>
      </c>
      <c r="P1152">
        <v>1210.5999999999999</v>
      </c>
    </row>
    <row r="1153" spans="1:16" x14ac:dyDescent="0.3">
      <c r="A1153" t="s">
        <v>1165</v>
      </c>
      <c r="B1153" s="3">
        <v>44955</v>
      </c>
      <c r="C1153" s="7" t="str">
        <f t="shared" si="34"/>
        <v>2023</v>
      </c>
      <c r="D1153" s="7" t="str">
        <f t="shared" si="35"/>
        <v>Jan</v>
      </c>
      <c r="E1153" s="6" t="s">
        <v>2354</v>
      </c>
      <c r="F1153" s="5" t="s">
        <v>2406</v>
      </c>
      <c r="G1153">
        <v>2</v>
      </c>
      <c r="H1153">
        <v>608.04</v>
      </c>
      <c r="I1153" s="6" t="s">
        <v>3047</v>
      </c>
      <c r="J1153" s="6" t="s">
        <v>3069</v>
      </c>
      <c r="K1153" s="6" t="s">
        <v>3071</v>
      </c>
      <c r="L1153" t="s">
        <v>4226</v>
      </c>
      <c r="M1153">
        <v>4</v>
      </c>
      <c r="N1153" t="s">
        <v>4285</v>
      </c>
      <c r="O1153" t="s">
        <v>4282</v>
      </c>
      <c r="P1153">
        <v>1216.08</v>
      </c>
    </row>
    <row r="1154" spans="1:16" x14ac:dyDescent="0.3">
      <c r="A1154" t="s">
        <v>1166</v>
      </c>
      <c r="B1154" s="3">
        <v>45239</v>
      </c>
      <c r="C1154" s="7" t="str">
        <f t="shared" ref="C1154:C1201" si="36">TEXT(B1154, "yyyy")</f>
        <v>2023</v>
      </c>
      <c r="D1154" s="7" t="str">
        <f t="shared" ref="D1154:D1201" si="37">TEXT(B1154, "MMM")</f>
        <v>Nov</v>
      </c>
      <c r="E1154" s="6" t="s">
        <v>2355</v>
      </c>
      <c r="F1154" s="5" t="s">
        <v>2405</v>
      </c>
      <c r="G1154">
        <v>2</v>
      </c>
      <c r="H1154">
        <v>344.18</v>
      </c>
      <c r="I1154" s="6" t="s">
        <v>2501</v>
      </c>
      <c r="J1154" s="6" t="s">
        <v>3067</v>
      </c>
      <c r="K1154" s="6" t="s">
        <v>3070</v>
      </c>
      <c r="L1154" t="s">
        <v>4227</v>
      </c>
      <c r="M1154">
        <v>7</v>
      </c>
      <c r="N1154" t="s">
        <v>4285</v>
      </c>
      <c r="O1154" t="s">
        <v>4279</v>
      </c>
      <c r="P1154">
        <v>688.36</v>
      </c>
    </row>
    <row r="1155" spans="1:16" x14ac:dyDescent="0.3">
      <c r="A1155" t="s">
        <v>1167</v>
      </c>
      <c r="B1155" s="3">
        <v>45642</v>
      </c>
      <c r="C1155" s="7" t="str">
        <f t="shared" si="36"/>
        <v>2024</v>
      </c>
      <c r="D1155" s="7" t="str">
        <f t="shared" si="37"/>
        <v>Dec</v>
      </c>
      <c r="E1155" s="6" t="s">
        <v>2356</v>
      </c>
      <c r="F1155" s="5" t="s">
        <v>2403</v>
      </c>
      <c r="G1155">
        <v>4</v>
      </c>
      <c r="H1155">
        <v>696.71</v>
      </c>
      <c r="I1155" s="6" t="s">
        <v>3048</v>
      </c>
      <c r="J1155" s="6" t="s">
        <v>3065</v>
      </c>
      <c r="K1155" s="6" t="s">
        <v>3070</v>
      </c>
      <c r="L1155" t="s">
        <v>4228</v>
      </c>
      <c r="M1155">
        <v>4</v>
      </c>
      <c r="N1155" t="s">
        <v>4285</v>
      </c>
      <c r="O1155" t="s">
        <v>4278</v>
      </c>
      <c r="P1155">
        <v>2786.84</v>
      </c>
    </row>
    <row r="1156" spans="1:16" x14ac:dyDescent="0.3">
      <c r="A1156" t="s">
        <v>1168</v>
      </c>
      <c r="B1156" s="3">
        <v>45819</v>
      </c>
      <c r="C1156" s="7" t="str">
        <f t="shared" si="36"/>
        <v>2025</v>
      </c>
      <c r="D1156" s="7" t="str">
        <f t="shared" si="37"/>
        <v>Jun</v>
      </c>
      <c r="E1156" s="6" t="s">
        <v>2357</v>
      </c>
      <c r="F1156" s="5" t="s">
        <v>2403</v>
      </c>
      <c r="G1156">
        <v>3</v>
      </c>
      <c r="H1156">
        <v>198.63</v>
      </c>
      <c r="I1156" s="6" t="s">
        <v>2520</v>
      </c>
      <c r="J1156" s="6" t="s">
        <v>3069</v>
      </c>
      <c r="K1156" s="6" t="s">
        <v>3074</v>
      </c>
      <c r="L1156" t="s">
        <v>4229</v>
      </c>
      <c r="M1156">
        <v>8</v>
      </c>
      <c r="N1156" t="s">
        <v>4275</v>
      </c>
      <c r="O1156" t="s">
        <v>4278</v>
      </c>
      <c r="P1156">
        <v>595.89</v>
      </c>
    </row>
    <row r="1157" spans="1:16" x14ac:dyDescent="0.3">
      <c r="A1157" t="s">
        <v>1169</v>
      </c>
      <c r="B1157" s="3">
        <v>45151</v>
      </c>
      <c r="C1157" s="7" t="str">
        <f t="shared" si="36"/>
        <v>2023</v>
      </c>
      <c r="D1157" s="7" t="str">
        <f t="shared" si="37"/>
        <v>Aug</v>
      </c>
      <c r="E1157" s="6" t="s">
        <v>2358</v>
      </c>
      <c r="F1157" s="5" t="s">
        <v>2407</v>
      </c>
      <c r="G1157">
        <v>4</v>
      </c>
      <c r="H1157">
        <v>534.57000000000005</v>
      </c>
      <c r="I1157" s="6" t="s">
        <v>2558</v>
      </c>
      <c r="J1157" s="6" t="s">
        <v>3067</v>
      </c>
      <c r="K1157" s="6" t="s">
        <v>3073</v>
      </c>
      <c r="L1157" t="s">
        <v>4230</v>
      </c>
      <c r="M1157">
        <v>6</v>
      </c>
      <c r="N1157" t="s">
        <v>4276</v>
      </c>
      <c r="O1157" t="s">
        <v>4281</v>
      </c>
      <c r="P1157">
        <v>2138.2800000000002</v>
      </c>
    </row>
    <row r="1158" spans="1:16" x14ac:dyDescent="0.3">
      <c r="A1158" t="s">
        <v>1170</v>
      </c>
      <c r="B1158" s="3">
        <v>45126</v>
      </c>
      <c r="C1158" s="7" t="str">
        <f t="shared" si="36"/>
        <v>2023</v>
      </c>
      <c r="D1158" s="7" t="str">
        <f t="shared" si="37"/>
        <v>Jul</v>
      </c>
      <c r="E1158" s="6" t="s">
        <v>2359</v>
      </c>
      <c r="F1158" s="5" t="s">
        <v>2408</v>
      </c>
      <c r="G1158">
        <v>4</v>
      </c>
      <c r="H1158">
        <v>690.78</v>
      </c>
      <c r="I1158" s="6" t="s">
        <v>2424</v>
      </c>
      <c r="J1158" s="6" t="s">
        <v>3067</v>
      </c>
      <c r="K1158" s="6" t="s">
        <v>3070</v>
      </c>
      <c r="L1158" t="s">
        <v>4231</v>
      </c>
      <c r="M1158">
        <v>9</v>
      </c>
      <c r="N1158" t="s">
        <v>4285</v>
      </c>
      <c r="O1158" t="s">
        <v>4279</v>
      </c>
      <c r="P1158">
        <v>2763.12</v>
      </c>
    </row>
    <row r="1159" spans="1:16" x14ac:dyDescent="0.3">
      <c r="A1159" t="s">
        <v>1171</v>
      </c>
      <c r="B1159" s="3">
        <v>45441</v>
      </c>
      <c r="C1159" s="7" t="str">
        <f t="shared" si="36"/>
        <v>2024</v>
      </c>
      <c r="D1159" s="7" t="str">
        <f t="shared" si="37"/>
        <v>May</v>
      </c>
      <c r="E1159" s="6" t="s">
        <v>2360</v>
      </c>
      <c r="F1159" s="5" t="s">
        <v>2403</v>
      </c>
      <c r="G1159">
        <v>3</v>
      </c>
      <c r="H1159">
        <v>301.55</v>
      </c>
      <c r="I1159" s="6" t="s">
        <v>2605</v>
      </c>
      <c r="J1159" s="6" t="s">
        <v>3065</v>
      </c>
      <c r="K1159" s="6" t="s">
        <v>3073</v>
      </c>
      <c r="L1159" t="s">
        <v>4232</v>
      </c>
      <c r="M1159">
        <v>5</v>
      </c>
      <c r="N1159" t="s">
        <v>4276</v>
      </c>
      <c r="O1159" t="s">
        <v>4282</v>
      </c>
      <c r="P1159">
        <v>904.65000000000009</v>
      </c>
    </row>
    <row r="1160" spans="1:16" x14ac:dyDescent="0.3">
      <c r="A1160" t="s">
        <v>1172</v>
      </c>
      <c r="B1160" s="3">
        <v>45036</v>
      </c>
      <c r="C1160" s="7" t="str">
        <f t="shared" si="36"/>
        <v>2023</v>
      </c>
      <c r="D1160" s="7" t="str">
        <f t="shared" si="37"/>
        <v>Apr</v>
      </c>
      <c r="E1160" s="6" t="s">
        <v>2361</v>
      </c>
      <c r="F1160" s="5" t="s">
        <v>2403</v>
      </c>
      <c r="G1160">
        <v>4</v>
      </c>
      <c r="H1160">
        <v>27.42</v>
      </c>
      <c r="I1160" s="6" t="s">
        <v>2755</v>
      </c>
      <c r="J1160" s="6" t="s">
        <v>3065</v>
      </c>
      <c r="K1160" s="6" t="s">
        <v>3074</v>
      </c>
      <c r="L1160" t="s">
        <v>4233</v>
      </c>
      <c r="M1160">
        <v>4</v>
      </c>
      <c r="N1160" t="s">
        <v>4275</v>
      </c>
      <c r="O1160" t="s">
        <v>4279</v>
      </c>
      <c r="P1160">
        <v>109.68</v>
      </c>
    </row>
    <row r="1161" spans="1:16" x14ac:dyDescent="0.3">
      <c r="A1161" t="s">
        <v>1173</v>
      </c>
      <c r="B1161" s="3">
        <v>45345</v>
      </c>
      <c r="C1161" s="7" t="str">
        <f t="shared" si="36"/>
        <v>2024</v>
      </c>
      <c r="D1161" s="7" t="str">
        <f t="shared" si="37"/>
        <v>Feb</v>
      </c>
      <c r="E1161" s="6" t="s">
        <v>2362</v>
      </c>
      <c r="F1161" s="5" t="s">
        <v>2409</v>
      </c>
      <c r="G1161">
        <v>4</v>
      </c>
      <c r="H1161">
        <v>466.7</v>
      </c>
      <c r="I1161" s="6" t="s">
        <v>2766</v>
      </c>
      <c r="J1161" s="6" t="s">
        <v>3065</v>
      </c>
      <c r="K1161" s="6" t="s">
        <v>3072</v>
      </c>
      <c r="L1161" t="s">
        <v>4234</v>
      </c>
      <c r="M1161">
        <v>8</v>
      </c>
      <c r="N1161" t="s">
        <v>4285</v>
      </c>
      <c r="O1161" t="s">
        <v>4278</v>
      </c>
      <c r="P1161">
        <v>1866.8</v>
      </c>
    </row>
    <row r="1162" spans="1:16" x14ac:dyDescent="0.3">
      <c r="A1162" t="s">
        <v>1174</v>
      </c>
      <c r="B1162" s="3">
        <v>45539</v>
      </c>
      <c r="C1162" s="7" t="str">
        <f t="shared" si="36"/>
        <v>2024</v>
      </c>
      <c r="D1162" s="7" t="str">
        <f t="shared" si="37"/>
        <v>Sept</v>
      </c>
      <c r="E1162" s="6" t="s">
        <v>2363</v>
      </c>
      <c r="F1162" s="5" t="s">
        <v>2409</v>
      </c>
      <c r="G1162">
        <v>1</v>
      </c>
      <c r="H1162">
        <v>541.64</v>
      </c>
      <c r="I1162" s="6" t="s">
        <v>2777</v>
      </c>
      <c r="J1162" s="6" t="s">
        <v>3065</v>
      </c>
      <c r="K1162" s="6" t="s">
        <v>3070</v>
      </c>
      <c r="L1162" t="s">
        <v>4235</v>
      </c>
      <c r="M1162">
        <v>5</v>
      </c>
      <c r="N1162" t="s">
        <v>4275</v>
      </c>
      <c r="O1162" t="s">
        <v>4280</v>
      </c>
      <c r="P1162">
        <v>541.64</v>
      </c>
    </row>
    <row r="1163" spans="1:16" x14ac:dyDescent="0.3">
      <c r="A1163" t="s">
        <v>1175</v>
      </c>
      <c r="B1163" s="3">
        <v>45215</v>
      </c>
      <c r="C1163" s="7" t="str">
        <f t="shared" si="36"/>
        <v>2023</v>
      </c>
      <c r="D1163" s="7" t="str">
        <f t="shared" si="37"/>
        <v>Oct</v>
      </c>
      <c r="E1163" s="6" t="s">
        <v>2364</v>
      </c>
      <c r="F1163" s="5" t="s">
        <v>2404</v>
      </c>
      <c r="G1163">
        <v>1</v>
      </c>
      <c r="H1163">
        <v>11.39</v>
      </c>
      <c r="I1163" s="6" t="s">
        <v>2693</v>
      </c>
      <c r="J1163" s="6" t="s">
        <v>3069</v>
      </c>
      <c r="K1163" s="6" t="s">
        <v>3071</v>
      </c>
      <c r="L1163" t="s">
        <v>4236</v>
      </c>
      <c r="M1163">
        <v>6</v>
      </c>
      <c r="N1163" t="s">
        <v>4277</v>
      </c>
      <c r="O1163" t="s">
        <v>4280</v>
      </c>
      <c r="P1163">
        <v>11.39</v>
      </c>
    </row>
    <row r="1164" spans="1:16" x14ac:dyDescent="0.3">
      <c r="A1164" t="s">
        <v>1176</v>
      </c>
      <c r="B1164" s="3">
        <v>45727</v>
      </c>
      <c r="C1164" s="7" t="str">
        <f t="shared" si="36"/>
        <v>2025</v>
      </c>
      <c r="D1164" s="7" t="str">
        <f t="shared" si="37"/>
        <v>Mar</v>
      </c>
      <c r="E1164" s="6" t="s">
        <v>2365</v>
      </c>
      <c r="F1164" s="5" t="s">
        <v>2404</v>
      </c>
      <c r="G1164">
        <v>2</v>
      </c>
      <c r="H1164">
        <v>224.37</v>
      </c>
      <c r="I1164" s="6" t="s">
        <v>3049</v>
      </c>
      <c r="J1164" s="6" t="s">
        <v>3065</v>
      </c>
      <c r="K1164" s="6" t="s">
        <v>3073</v>
      </c>
      <c r="L1164" t="s">
        <v>4237</v>
      </c>
      <c r="M1164">
        <v>3</v>
      </c>
      <c r="N1164" t="s">
        <v>4277</v>
      </c>
      <c r="O1164" t="s">
        <v>4279</v>
      </c>
      <c r="P1164">
        <v>448.74</v>
      </c>
    </row>
    <row r="1165" spans="1:16" x14ac:dyDescent="0.3">
      <c r="A1165" t="s">
        <v>1177</v>
      </c>
      <c r="B1165" s="3">
        <v>45454</v>
      </c>
      <c r="C1165" s="7" t="str">
        <f t="shared" si="36"/>
        <v>2024</v>
      </c>
      <c r="D1165" s="7" t="str">
        <f t="shared" si="37"/>
        <v>Jun</v>
      </c>
      <c r="E1165" s="6" t="s">
        <v>2366</v>
      </c>
      <c r="F1165" s="5" t="s">
        <v>2408</v>
      </c>
      <c r="G1165">
        <v>3</v>
      </c>
      <c r="H1165">
        <v>306.29000000000002</v>
      </c>
      <c r="I1165" s="6" t="s">
        <v>3050</v>
      </c>
      <c r="J1165" s="6" t="s">
        <v>3067</v>
      </c>
      <c r="K1165" s="6" t="s">
        <v>3072</v>
      </c>
      <c r="L1165" t="s">
        <v>4238</v>
      </c>
      <c r="M1165">
        <v>7</v>
      </c>
      <c r="N1165" t="s">
        <v>4277</v>
      </c>
      <c r="O1165" t="s">
        <v>4278</v>
      </c>
      <c r="P1165">
        <v>918.87000000000012</v>
      </c>
    </row>
    <row r="1166" spans="1:16" x14ac:dyDescent="0.3">
      <c r="A1166" t="s">
        <v>1178</v>
      </c>
      <c r="B1166" s="3">
        <v>45299</v>
      </c>
      <c r="C1166" s="7" t="str">
        <f t="shared" si="36"/>
        <v>2024</v>
      </c>
      <c r="D1166" s="7" t="str">
        <f t="shared" si="37"/>
        <v>Jan</v>
      </c>
      <c r="E1166" s="6" t="s">
        <v>2367</v>
      </c>
      <c r="F1166" s="5" t="s">
        <v>2405</v>
      </c>
      <c r="G1166">
        <v>5</v>
      </c>
      <c r="H1166">
        <v>315.57</v>
      </c>
      <c r="I1166" s="6" t="s">
        <v>2826</v>
      </c>
      <c r="J1166" s="6" t="s">
        <v>3065</v>
      </c>
      <c r="K1166" s="6" t="s">
        <v>3073</v>
      </c>
      <c r="L1166" t="s">
        <v>4239</v>
      </c>
      <c r="M1166">
        <v>6</v>
      </c>
      <c r="N1166" t="s">
        <v>4277</v>
      </c>
      <c r="O1166" t="s">
        <v>4280</v>
      </c>
      <c r="P1166">
        <v>1577.85</v>
      </c>
    </row>
    <row r="1167" spans="1:16" x14ac:dyDescent="0.3">
      <c r="A1167" t="s">
        <v>1179</v>
      </c>
      <c r="B1167" s="3">
        <v>45121</v>
      </c>
      <c r="C1167" s="7" t="str">
        <f t="shared" si="36"/>
        <v>2023</v>
      </c>
      <c r="D1167" s="7" t="str">
        <f t="shared" si="37"/>
        <v>Jul</v>
      </c>
      <c r="E1167" s="6" t="s">
        <v>2368</v>
      </c>
      <c r="F1167" s="5" t="s">
        <v>2406</v>
      </c>
      <c r="G1167">
        <v>3</v>
      </c>
      <c r="H1167">
        <v>223.79</v>
      </c>
      <c r="I1167" s="6" t="s">
        <v>3051</v>
      </c>
      <c r="J1167" s="6" t="s">
        <v>3065</v>
      </c>
      <c r="K1167" s="6" t="s">
        <v>3074</v>
      </c>
      <c r="L1167" t="s">
        <v>4240</v>
      </c>
      <c r="M1167">
        <v>3</v>
      </c>
      <c r="N1167" t="s">
        <v>4285</v>
      </c>
      <c r="O1167" t="s">
        <v>4282</v>
      </c>
      <c r="P1167">
        <v>671.37</v>
      </c>
    </row>
    <row r="1168" spans="1:16" x14ac:dyDescent="0.3">
      <c r="A1168" t="s">
        <v>1180</v>
      </c>
      <c r="B1168" s="3">
        <v>45138</v>
      </c>
      <c r="C1168" s="7" t="str">
        <f t="shared" si="36"/>
        <v>2023</v>
      </c>
      <c r="D1168" s="7" t="str">
        <f t="shared" si="37"/>
        <v>Jul</v>
      </c>
      <c r="E1168" s="6" t="s">
        <v>2369</v>
      </c>
      <c r="F1168" s="5" t="s">
        <v>2406</v>
      </c>
      <c r="G1168">
        <v>3</v>
      </c>
      <c r="H1168">
        <v>324.47000000000003</v>
      </c>
      <c r="I1168" s="6" t="s">
        <v>2486</v>
      </c>
      <c r="J1168" s="6" t="s">
        <v>3069</v>
      </c>
      <c r="K1168" s="6" t="s">
        <v>3073</v>
      </c>
      <c r="L1168" t="s">
        <v>4241</v>
      </c>
      <c r="M1168">
        <v>4</v>
      </c>
      <c r="N1168" t="s">
        <v>4277</v>
      </c>
      <c r="O1168" t="s">
        <v>4280</v>
      </c>
      <c r="P1168">
        <v>973.41000000000008</v>
      </c>
    </row>
    <row r="1169" spans="1:16" x14ac:dyDescent="0.3">
      <c r="A1169" t="s">
        <v>1181</v>
      </c>
      <c r="B1169" s="3">
        <v>45216</v>
      </c>
      <c r="C1169" s="7" t="str">
        <f t="shared" si="36"/>
        <v>2023</v>
      </c>
      <c r="D1169" s="7" t="str">
        <f t="shared" si="37"/>
        <v>Oct</v>
      </c>
      <c r="E1169" s="6" t="s">
        <v>2370</v>
      </c>
      <c r="F1169" s="5" t="s">
        <v>2407</v>
      </c>
      <c r="G1169">
        <v>2</v>
      </c>
      <c r="H1169">
        <v>92.87</v>
      </c>
      <c r="I1169" s="6" t="s">
        <v>2645</v>
      </c>
      <c r="J1169" s="6" t="s">
        <v>3067</v>
      </c>
      <c r="K1169" s="6" t="s">
        <v>3074</v>
      </c>
      <c r="L1169" t="s">
        <v>4242</v>
      </c>
      <c r="M1169">
        <v>5</v>
      </c>
      <c r="N1169" t="s">
        <v>4276</v>
      </c>
      <c r="O1169" t="s">
        <v>4281</v>
      </c>
      <c r="P1169">
        <v>185.74</v>
      </c>
    </row>
    <row r="1170" spans="1:16" x14ac:dyDescent="0.3">
      <c r="A1170" t="s">
        <v>1182</v>
      </c>
      <c r="B1170" s="3">
        <v>45024</v>
      </c>
      <c r="C1170" s="7" t="str">
        <f t="shared" si="36"/>
        <v>2023</v>
      </c>
      <c r="D1170" s="7" t="str">
        <f t="shared" si="37"/>
        <v>Apr</v>
      </c>
      <c r="E1170" s="6" t="s">
        <v>2371</v>
      </c>
      <c r="F1170" s="5" t="s">
        <v>2408</v>
      </c>
      <c r="G1170">
        <v>2</v>
      </c>
      <c r="H1170">
        <v>331.42</v>
      </c>
      <c r="I1170" s="6" t="s">
        <v>3052</v>
      </c>
      <c r="J1170" s="6" t="s">
        <v>3067</v>
      </c>
      <c r="K1170" s="6" t="s">
        <v>3073</v>
      </c>
      <c r="L1170" t="s">
        <v>4243</v>
      </c>
      <c r="M1170">
        <v>6</v>
      </c>
      <c r="N1170" t="s">
        <v>4277</v>
      </c>
      <c r="O1170" t="s">
        <v>4282</v>
      </c>
      <c r="P1170">
        <v>662.84</v>
      </c>
    </row>
    <row r="1171" spans="1:16" x14ac:dyDescent="0.3">
      <c r="A1171" t="s">
        <v>1183</v>
      </c>
      <c r="B1171" s="3">
        <v>45649</v>
      </c>
      <c r="C1171" s="7" t="str">
        <f t="shared" si="36"/>
        <v>2024</v>
      </c>
      <c r="D1171" s="7" t="str">
        <f t="shared" si="37"/>
        <v>Dec</v>
      </c>
      <c r="E1171" s="6" t="s">
        <v>2372</v>
      </c>
      <c r="F1171" s="5" t="s">
        <v>2406</v>
      </c>
      <c r="G1171">
        <v>1</v>
      </c>
      <c r="H1171">
        <v>525.42999999999995</v>
      </c>
      <c r="I1171" s="6" t="s">
        <v>3053</v>
      </c>
      <c r="J1171" s="6" t="s">
        <v>3069</v>
      </c>
      <c r="K1171" s="6" t="s">
        <v>3071</v>
      </c>
      <c r="L1171" t="s">
        <v>4244</v>
      </c>
      <c r="M1171">
        <v>2</v>
      </c>
      <c r="N1171" t="s">
        <v>4275</v>
      </c>
      <c r="O1171" t="s">
        <v>4278</v>
      </c>
      <c r="P1171">
        <v>525.42999999999995</v>
      </c>
    </row>
    <row r="1172" spans="1:16" x14ac:dyDescent="0.3">
      <c r="A1172" t="s">
        <v>1184</v>
      </c>
      <c r="B1172" s="3">
        <v>45141</v>
      </c>
      <c r="C1172" s="7" t="str">
        <f t="shared" si="36"/>
        <v>2023</v>
      </c>
      <c r="D1172" s="7" t="str">
        <f t="shared" si="37"/>
        <v>Aug</v>
      </c>
      <c r="E1172" s="6" t="s">
        <v>2373</v>
      </c>
      <c r="F1172" s="5" t="s">
        <v>2407</v>
      </c>
      <c r="G1172">
        <v>2</v>
      </c>
      <c r="H1172">
        <v>697.19</v>
      </c>
      <c r="I1172" s="6" t="s">
        <v>2607</v>
      </c>
      <c r="J1172" s="6" t="s">
        <v>3069</v>
      </c>
      <c r="K1172" s="6" t="s">
        <v>3072</v>
      </c>
      <c r="L1172" t="s">
        <v>4245</v>
      </c>
      <c r="M1172">
        <v>7</v>
      </c>
      <c r="N1172" t="s">
        <v>4276</v>
      </c>
      <c r="O1172" t="s">
        <v>4280</v>
      </c>
      <c r="P1172">
        <v>1394.38</v>
      </c>
    </row>
    <row r="1173" spans="1:16" x14ac:dyDescent="0.3">
      <c r="A1173" t="s">
        <v>1185</v>
      </c>
      <c r="B1173" s="3">
        <v>45166</v>
      </c>
      <c r="C1173" s="7" t="str">
        <f t="shared" si="36"/>
        <v>2023</v>
      </c>
      <c r="D1173" s="7" t="str">
        <f t="shared" si="37"/>
        <v>Aug</v>
      </c>
      <c r="E1173" s="6" t="s">
        <v>2374</v>
      </c>
      <c r="F1173" s="5" t="s">
        <v>2404</v>
      </c>
      <c r="G1173">
        <v>4</v>
      </c>
      <c r="H1173">
        <v>518.4</v>
      </c>
      <c r="I1173" s="6" t="s">
        <v>3054</v>
      </c>
      <c r="J1173" s="6" t="s">
        <v>3067</v>
      </c>
      <c r="K1173" s="6" t="s">
        <v>3073</v>
      </c>
      <c r="L1173" t="s">
        <v>4246</v>
      </c>
      <c r="M1173">
        <v>7</v>
      </c>
      <c r="N1173" t="s">
        <v>4275</v>
      </c>
      <c r="O1173" t="s">
        <v>4281</v>
      </c>
      <c r="P1173">
        <v>2073.6</v>
      </c>
    </row>
    <row r="1174" spans="1:16" x14ac:dyDescent="0.3">
      <c r="A1174" t="s">
        <v>1186</v>
      </c>
      <c r="B1174" s="3">
        <v>45692</v>
      </c>
      <c r="C1174" s="7" t="str">
        <f t="shared" si="36"/>
        <v>2025</v>
      </c>
      <c r="D1174" s="7" t="str">
        <f t="shared" si="37"/>
        <v>Feb</v>
      </c>
      <c r="E1174" s="6" t="s">
        <v>2375</v>
      </c>
      <c r="F1174" s="5" t="s">
        <v>2409</v>
      </c>
      <c r="G1174">
        <v>3</v>
      </c>
      <c r="H1174">
        <v>131.96</v>
      </c>
      <c r="I1174" s="6" t="s">
        <v>2793</v>
      </c>
      <c r="J1174" s="6" t="s">
        <v>3067</v>
      </c>
      <c r="K1174" s="6" t="s">
        <v>3074</v>
      </c>
      <c r="L1174" t="s">
        <v>4247</v>
      </c>
      <c r="M1174">
        <v>8</v>
      </c>
      <c r="N1174" t="s">
        <v>4285</v>
      </c>
      <c r="O1174" t="s">
        <v>4278</v>
      </c>
      <c r="P1174">
        <v>395.88</v>
      </c>
    </row>
    <row r="1175" spans="1:16" x14ac:dyDescent="0.3">
      <c r="A1175" t="s">
        <v>1187</v>
      </c>
      <c r="B1175" s="3">
        <v>45569</v>
      </c>
      <c r="C1175" s="7" t="str">
        <f t="shared" si="36"/>
        <v>2024</v>
      </c>
      <c r="D1175" s="7" t="str">
        <f t="shared" si="37"/>
        <v>Oct</v>
      </c>
      <c r="E1175" s="6" t="s">
        <v>2376</v>
      </c>
      <c r="F1175" s="5" t="s">
        <v>2403</v>
      </c>
      <c r="G1175">
        <v>1</v>
      </c>
      <c r="H1175">
        <v>208.36</v>
      </c>
      <c r="I1175" s="6" t="s">
        <v>2891</v>
      </c>
      <c r="J1175" s="6" t="s">
        <v>3066</v>
      </c>
      <c r="K1175" s="6" t="s">
        <v>3070</v>
      </c>
      <c r="L1175" t="s">
        <v>4248</v>
      </c>
      <c r="M1175">
        <v>4</v>
      </c>
      <c r="N1175" t="s">
        <v>4276</v>
      </c>
      <c r="O1175" t="s">
        <v>4280</v>
      </c>
      <c r="P1175">
        <v>208.36</v>
      </c>
    </row>
    <row r="1176" spans="1:16" x14ac:dyDescent="0.3">
      <c r="A1176" t="s">
        <v>1188</v>
      </c>
      <c r="B1176" s="3">
        <v>45257</v>
      </c>
      <c r="C1176" s="7" t="str">
        <f t="shared" si="36"/>
        <v>2023</v>
      </c>
      <c r="D1176" s="7" t="str">
        <f t="shared" si="37"/>
        <v>Nov</v>
      </c>
      <c r="E1176" s="6" t="s">
        <v>2377</v>
      </c>
      <c r="F1176" s="5" t="s">
        <v>2407</v>
      </c>
      <c r="G1176">
        <v>3</v>
      </c>
      <c r="H1176">
        <v>222.34</v>
      </c>
      <c r="I1176" s="6" t="s">
        <v>3055</v>
      </c>
      <c r="J1176" s="6" t="s">
        <v>3067</v>
      </c>
      <c r="K1176" s="6" t="s">
        <v>3072</v>
      </c>
      <c r="L1176" t="s">
        <v>4249</v>
      </c>
      <c r="M1176">
        <v>5</v>
      </c>
      <c r="N1176" t="s">
        <v>4277</v>
      </c>
      <c r="O1176" t="s">
        <v>4280</v>
      </c>
      <c r="P1176">
        <v>667.02</v>
      </c>
    </row>
    <row r="1177" spans="1:16" x14ac:dyDescent="0.3">
      <c r="A1177" t="s">
        <v>1189</v>
      </c>
      <c r="B1177" s="3">
        <v>45545</v>
      </c>
      <c r="C1177" s="7" t="str">
        <f t="shared" si="36"/>
        <v>2024</v>
      </c>
      <c r="D1177" s="7" t="str">
        <f t="shared" si="37"/>
        <v>Sept</v>
      </c>
      <c r="E1177" s="6" t="s">
        <v>2378</v>
      </c>
      <c r="F1177" s="5" t="s">
        <v>2407</v>
      </c>
      <c r="G1177">
        <v>3</v>
      </c>
      <c r="H1177">
        <v>91.74</v>
      </c>
      <c r="I1177" s="6" t="s">
        <v>2666</v>
      </c>
      <c r="J1177" s="6" t="s">
        <v>3065</v>
      </c>
      <c r="K1177" s="6" t="s">
        <v>3072</v>
      </c>
      <c r="L1177" t="s">
        <v>4250</v>
      </c>
      <c r="M1177">
        <v>8</v>
      </c>
      <c r="N1177" t="s">
        <v>4276</v>
      </c>
      <c r="O1177" t="s">
        <v>4279</v>
      </c>
      <c r="P1177">
        <v>275.22000000000003</v>
      </c>
    </row>
    <row r="1178" spans="1:16" x14ac:dyDescent="0.3">
      <c r="A1178" t="s">
        <v>1190</v>
      </c>
      <c r="B1178" s="3">
        <v>45151</v>
      </c>
      <c r="C1178" s="7" t="str">
        <f t="shared" si="36"/>
        <v>2023</v>
      </c>
      <c r="D1178" s="7" t="str">
        <f t="shared" si="37"/>
        <v>Aug</v>
      </c>
      <c r="E1178" s="6" t="s">
        <v>2379</v>
      </c>
      <c r="F1178" s="5" t="s">
        <v>2405</v>
      </c>
      <c r="G1178">
        <v>2</v>
      </c>
      <c r="H1178">
        <v>213.83</v>
      </c>
      <c r="I1178" s="6" t="s">
        <v>3056</v>
      </c>
      <c r="J1178" s="6" t="s">
        <v>3065</v>
      </c>
      <c r="K1178" s="6" t="s">
        <v>3071</v>
      </c>
      <c r="L1178" t="s">
        <v>4251</v>
      </c>
      <c r="M1178">
        <v>2</v>
      </c>
      <c r="N1178" t="s">
        <v>4277</v>
      </c>
      <c r="O1178" t="s">
        <v>4280</v>
      </c>
      <c r="P1178">
        <v>427.66</v>
      </c>
    </row>
    <row r="1179" spans="1:16" x14ac:dyDescent="0.3">
      <c r="A1179" t="s">
        <v>1191</v>
      </c>
      <c r="B1179" s="3">
        <v>45043</v>
      </c>
      <c r="C1179" s="7" t="str">
        <f t="shared" si="36"/>
        <v>2023</v>
      </c>
      <c r="D1179" s="7" t="str">
        <f t="shared" si="37"/>
        <v>Apr</v>
      </c>
      <c r="E1179" s="6" t="s">
        <v>2380</v>
      </c>
      <c r="F1179" s="5" t="s">
        <v>2407</v>
      </c>
      <c r="G1179">
        <v>1</v>
      </c>
      <c r="H1179">
        <v>127.55</v>
      </c>
      <c r="I1179" s="6" t="s">
        <v>2749</v>
      </c>
      <c r="J1179" s="6" t="s">
        <v>3069</v>
      </c>
      <c r="K1179" s="6" t="s">
        <v>3070</v>
      </c>
      <c r="L1179" t="s">
        <v>4252</v>
      </c>
      <c r="M1179">
        <v>3</v>
      </c>
      <c r="N1179" t="s">
        <v>4275</v>
      </c>
      <c r="O1179" t="s">
        <v>4279</v>
      </c>
      <c r="P1179">
        <v>127.55</v>
      </c>
    </row>
    <row r="1180" spans="1:16" x14ac:dyDescent="0.3">
      <c r="A1180" t="s">
        <v>1192</v>
      </c>
      <c r="B1180" s="3">
        <v>45543</v>
      </c>
      <c r="C1180" s="7" t="str">
        <f t="shared" si="36"/>
        <v>2024</v>
      </c>
      <c r="D1180" s="7" t="str">
        <f t="shared" si="37"/>
        <v>Sept</v>
      </c>
      <c r="E1180" s="6" t="s">
        <v>2381</v>
      </c>
      <c r="F1180" s="5" t="s">
        <v>2403</v>
      </c>
      <c r="G1180">
        <v>1</v>
      </c>
      <c r="H1180">
        <v>70.239999999999995</v>
      </c>
      <c r="I1180" s="6" t="s">
        <v>2616</v>
      </c>
      <c r="J1180" s="6" t="s">
        <v>3067</v>
      </c>
      <c r="K1180" s="6" t="s">
        <v>3071</v>
      </c>
      <c r="L1180" t="s">
        <v>4253</v>
      </c>
      <c r="M1180">
        <v>4</v>
      </c>
      <c r="N1180" t="s">
        <v>4276</v>
      </c>
      <c r="O1180" t="s">
        <v>4282</v>
      </c>
      <c r="P1180">
        <v>70.239999999999995</v>
      </c>
    </row>
    <row r="1181" spans="1:16" x14ac:dyDescent="0.3">
      <c r="A1181" t="s">
        <v>1193</v>
      </c>
      <c r="B1181" s="3">
        <v>44934</v>
      </c>
      <c r="C1181" s="7" t="str">
        <f t="shared" si="36"/>
        <v>2023</v>
      </c>
      <c r="D1181" s="7" t="str">
        <f t="shared" si="37"/>
        <v>Jan</v>
      </c>
      <c r="E1181" s="6" t="s">
        <v>2382</v>
      </c>
      <c r="F1181" s="5" t="s">
        <v>2408</v>
      </c>
      <c r="G1181">
        <v>5</v>
      </c>
      <c r="H1181">
        <v>518.54999999999995</v>
      </c>
      <c r="I1181" s="6" t="s">
        <v>2709</v>
      </c>
      <c r="J1181" s="6" t="s">
        <v>3067</v>
      </c>
      <c r="K1181" s="6" t="s">
        <v>3071</v>
      </c>
      <c r="L1181" t="s">
        <v>4254</v>
      </c>
      <c r="M1181">
        <v>6</v>
      </c>
      <c r="N1181" t="s">
        <v>4277</v>
      </c>
      <c r="O1181" t="s">
        <v>4278</v>
      </c>
      <c r="P1181">
        <v>2592.75</v>
      </c>
    </row>
    <row r="1182" spans="1:16" x14ac:dyDescent="0.3">
      <c r="A1182" t="s">
        <v>1194</v>
      </c>
      <c r="B1182" s="3">
        <v>45230</v>
      </c>
      <c r="C1182" s="7" t="str">
        <f t="shared" si="36"/>
        <v>2023</v>
      </c>
      <c r="D1182" s="7" t="str">
        <f t="shared" si="37"/>
        <v>Oct</v>
      </c>
      <c r="E1182" s="6" t="s">
        <v>2383</v>
      </c>
      <c r="F1182" s="5" t="s">
        <v>2406</v>
      </c>
      <c r="G1182">
        <v>4</v>
      </c>
      <c r="H1182">
        <v>298.36</v>
      </c>
      <c r="I1182" s="6" t="s">
        <v>2805</v>
      </c>
      <c r="J1182" s="6" t="s">
        <v>3065</v>
      </c>
      <c r="K1182" s="6" t="s">
        <v>3074</v>
      </c>
      <c r="L1182" t="s">
        <v>4255</v>
      </c>
      <c r="M1182">
        <v>8</v>
      </c>
      <c r="N1182" t="s">
        <v>4276</v>
      </c>
      <c r="O1182" t="s">
        <v>4282</v>
      </c>
      <c r="P1182">
        <v>1193.44</v>
      </c>
    </row>
    <row r="1183" spans="1:16" x14ac:dyDescent="0.3">
      <c r="A1183" t="s">
        <v>1195</v>
      </c>
      <c r="B1183" s="3">
        <v>45134</v>
      </c>
      <c r="C1183" s="7" t="str">
        <f t="shared" si="36"/>
        <v>2023</v>
      </c>
      <c r="D1183" s="7" t="str">
        <f t="shared" si="37"/>
        <v>Jul</v>
      </c>
      <c r="E1183" s="6" t="s">
        <v>2384</v>
      </c>
      <c r="F1183" s="5" t="s">
        <v>2409</v>
      </c>
      <c r="G1183">
        <v>3</v>
      </c>
      <c r="H1183">
        <v>158.74</v>
      </c>
      <c r="I1183" s="6" t="s">
        <v>2694</v>
      </c>
      <c r="J1183" s="6" t="s">
        <v>3066</v>
      </c>
      <c r="K1183" s="6" t="s">
        <v>3074</v>
      </c>
      <c r="L1183" t="s">
        <v>4256</v>
      </c>
      <c r="M1183">
        <v>7</v>
      </c>
      <c r="N1183" t="s">
        <v>4276</v>
      </c>
      <c r="O1183" t="s">
        <v>4278</v>
      </c>
      <c r="P1183">
        <v>476.22</v>
      </c>
    </row>
    <row r="1184" spans="1:16" x14ac:dyDescent="0.3">
      <c r="A1184" t="s">
        <v>1196</v>
      </c>
      <c r="B1184" s="3">
        <v>45822</v>
      </c>
      <c r="C1184" s="7" t="str">
        <f t="shared" si="36"/>
        <v>2025</v>
      </c>
      <c r="D1184" s="7" t="str">
        <f t="shared" si="37"/>
        <v>Jun</v>
      </c>
      <c r="E1184" s="6" t="s">
        <v>2385</v>
      </c>
      <c r="F1184" s="5" t="s">
        <v>2406</v>
      </c>
      <c r="G1184">
        <v>2</v>
      </c>
      <c r="H1184">
        <v>420.29</v>
      </c>
      <c r="I1184" s="6" t="s">
        <v>2835</v>
      </c>
      <c r="J1184" s="6" t="s">
        <v>3068</v>
      </c>
      <c r="K1184" s="6" t="s">
        <v>3072</v>
      </c>
      <c r="L1184" t="s">
        <v>4257</v>
      </c>
      <c r="M1184">
        <v>3</v>
      </c>
      <c r="N1184" t="s">
        <v>4275</v>
      </c>
      <c r="O1184" t="s">
        <v>4282</v>
      </c>
      <c r="P1184">
        <v>840.58</v>
      </c>
    </row>
    <row r="1185" spans="1:16" x14ac:dyDescent="0.3">
      <c r="A1185" t="s">
        <v>1197</v>
      </c>
      <c r="B1185" s="3">
        <v>45021</v>
      </c>
      <c r="C1185" s="7" t="str">
        <f t="shared" si="36"/>
        <v>2023</v>
      </c>
      <c r="D1185" s="7" t="str">
        <f t="shared" si="37"/>
        <v>Apr</v>
      </c>
      <c r="E1185" s="6" t="s">
        <v>2386</v>
      </c>
      <c r="F1185" s="5" t="s">
        <v>2409</v>
      </c>
      <c r="G1185">
        <v>1</v>
      </c>
      <c r="H1185">
        <v>281.52</v>
      </c>
      <c r="I1185" s="6" t="s">
        <v>2633</v>
      </c>
      <c r="J1185" s="6" t="s">
        <v>3068</v>
      </c>
      <c r="K1185" s="6" t="s">
        <v>3070</v>
      </c>
      <c r="L1185" t="s">
        <v>4258</v>
      </c>
      <c r="M1185">
        <v>6</v>
      </c>
      <c r="N1185" t="s">
        <v>4277</v>
      </c>
      <c r="O1185" t="s">
        <v>4279</v>
      </c>
      <c r="P1185">
        <v>281.52</v>
      </c>
    </row>
    <row r="1186" spans="1:16" x14ac:dyDescent="0.3">
      <c r="A1186" t="s">
        <v>1198</v>
      </c>
      <c r="B1186" s="3">
        <v>45196</v>
      </c>
      <c r="C1186" s="7" t="str">
        <f t="shared" si="36"/>
        <v>2023</v>
      </c>
      <c r="D1186" s="7" t="str">
        <f t="shared" si="37"/>
        <v>Sept</v>
      </c>
      <c r="E1186" s="6" t="s">
        <v>2387</v>
      </c>
      <c r="F1186" s="5" t="s">
        <v>2408</v>
      </c>
      <c r="G1186">
        <v>1</v>
      </c>
      <c r="H1186">
        <v>204.08</v>
      </c>
      <c r="I1186" s="6" t="s">
        <v>2938</v>
      </c>
      <c r="J1186" s="6" t="s">
        <v>3068</v>
      </c>
      <c r="K1186" s="6" t="s">
        <v>3072</v>
      </c>
      <c r="L1186" t="s">
        <v>4259</v>
      </c>
      <c r="M1186">
        <v>4</v>
      </c>
      <c r="N1186" t="s">
        <v>4285</v>
      </c>
      <c r="O1186" t="s">
        <v>4282</v>
      </c>
      <c r="P1186">
        <v>204.08</v>
      </c>
    </row>
    <row r="1187" spans="1:16" x14ac:dyDescent="0.3">
      <c r="A1187" t="s">
        <v>1199</v>
      </c>
      <c r="B1187" s="3">
        <v>45481</v>
      </c>
      <c r="C1187" s="7" t="str">
        <f t="shared" si="36"/>
        <v>2024</v>
      </c>
      <c r="D1187" s="7" t="str">
        <f t="shared" si="37"/>
        <v>Jul</v>
      </c>
      <c r="E1187" s="6" t="s">
        <v>2388</v>
      </c>
      <c r="F1187" s="5" t="s">
        <v>2406</v>
      </c>
      <c r="G1187">
        <v>1</v>
      </c>
      <c r="H1187">
        <v>343.31</v>
      </c>
      <c r="I1187" s="6" t="s">
        <v>3057</v>
      </c>
      <c r="J1187" s="6" t="s">
        <v>3068</v>
      </c>
      <c r="K1187" s="6" t="s">
        <v>3072</v>
      </c>
      <c r="L1187" t="s">
        <v>4260</v>
      </c>
      <c r="M1187">
        <v>6</v>
      </c>
      <c r="N1187" t="s">
        <v>4275</v>
      </c>
      <c r="O1187" t="s">
        <v>4282</v>
      </c>
      <c r="P1187">
        <v>343.31</v>
      </c>
    </row>
    <row r="1188" spans="1:16" x14ac:dyDescent="0.3">
      <c r="A1188" t="s">
        <v>1200</v>
      </c>
      <c r="B1188" s="3">
        <v>45248</v>
      </c>
      <c r="C1188" s="7" t="str">
        <f t="shared" si="36"/>
        <v>2023</v>
      </c>
      <c r="D1188" s="7" t="str">
        <f t="shared" si="37"/>
        <v>Nov</v>
      </c>
      <c r="E1188" s="6" t="s">
        <v>2389</v>
      </c>
      <c r="F1188" s="5" t="s">
        <v>2403</v>
      </c>
      <c r="G1188">
        <v>1</v>
      </c>
      <c r="H1188">
        <v>163.32</v>
      </c>
      <c r="I1188" s="6" t="s">
        <v>3058</v>
      </c>
      <c r="J1188" s="6" t="s">
        <v>3069</v>
      </c>
      <c r="K1188" s="6" t="s">
        <v>3070</v>
      </c>
      <c r="L1188" t="s">
        <v>4261</v>
      </c>
      <c r="M1188">
        <v>6</v>
      </c>
      <c r="N1188" t="s">
        <v>4277</v>
      </c>
      <c r="O1188" t="s">
        <v>4281</v>
      </c>
      <c r="P1188">
        <v>163.32</v>
      </c>
    </row>
    <row r="1189" spans="1:16" x14ac:dyDescent="0.3">
      <c r="A1189" t="s">
        <v>1201</v>
      </c>
      <c r="B1189" s="3">
        <v>45364</v>
      </c>
      <c r="C1189" s="7" t="str">
        <f t="shared" si="36"/>
        <v>2024</v>
      </c>
      <c r="D1189" s="7" t="str">
        <f t="shared" si="37"/>
        <v>Mar</v>
      </c>
      <c r="E1189" s="6" t="s">
        <v>2390</v>
      </c>
      <c r="F1189" s="5" t="s">
        <v>2409</v>
      </c>
      <c r="G1189">
        <v>2</v>
      </c>
      <c r="H1189">
        <v>184.6</v>
      </c>
      <c r="I1189" s="6" t="s">
        <v>2613</v>
      </c>
      <c r="J1189" s="6" t="s">
        <v>3068</v>
      </c>
      <c r="K1189" s="6" t="s">
        <v>3073</v>
      </c>
      <c r="L1189" t="s">
        <v>4262</v>
      </c>
      <c r="M1189">
        <v>7</v>
      </c>
      <c r="N1189" t="s">
        <v>4277</v>
      </c>
      <c r="O1189" t="s">
        <v>4280</v>
      </c>
      <c r="P1189">
        <v>369.2</v>
      </c>
    </row>
    <row r="1190" spans="1:16" x14ac:dyDescent="0.3">
      <c r="A1190" t="s">
        <v>1202</v>
      </c>
      <c r="B1190" s="3">
        <v>45206</v>
      </c>
      <c r="C1190" s="7" t="str">
        <f t="shared" si="36"/>
        <v>2023</v>
      </c>
      <c r="D1190" s="7" t="str">
        <f t="shared" si="37"/>
        <v>Oct</v>
      </c>
      <c r="E1190" s="6" t="s">
        <v>2391</v>
      </c>
      <c r="F1190" s="5" t="s">
        <v>2407</v>
      </c>
      <c r="G1190">
        <v>2</v>
      </c>
      <c r="H1190">
        <v>371.29</v>
      </c>
      <c r="I1190" s="6" t="s">
        <v>3059</v>
      </c>
      <c r="J1190" s="6" t="s">
        <v>3068</v>
      </c>
      <c r="K1190" s="6" t="s">
        <v>3070</v>
      </c>
      <c r="L1190" t="s">
        <v>4263</v>
      </c>
      <c r="M1190">
        <v>5</v>
      </c>
      <c r="N1190" t="s">
        <v>4277</v>
      </c>
      <c r="O1190" t="s">
        <v>4281</v>
      </c>
      <c r="P1190">
        <v>742.58</v>
      </c>
    </row>
    <row r="1191" spans="1:16" x14ac:dyDescent="0.3">
      <c r="A1191" t="s">
        <v>1203</v>
      </c>
      <c r="B1191" s="3">
        <v>45521</v>
      </c>
      <c r="C1191" s="7" t="str">
        <f t="shared" si="36"/>
        <v>2024</v>
      </c>
      <c r="D1191" s="7" t="str">
        <f t="shared" si="37"/>
        <v>Aug</v>
      </c>
      <c r="E1191" s="6" t="s">
        <v>2392</v>
      </c>
      <c r="F1191" s="5" t="s">
        <v>2405</v>
      </c>
      <c r="G1191">
        <v>5</v>
      </c>
      <c r="H1191">
        <v>389.22</v>
      </c>
      <c r="I1191" s="6" t="s">
        <v>3060</v>
      </c>
      <c r="J1191" s="6" t="s">
        <v>3069</v>
      </c>
      <c r="K1191" s="6" t="s">
        <v>3071</v>
      </c>
      <c r="L1191" t="s">
        <v>4264</v>
      </c>
      <c r="M1191">
        <v>7</v>
      </c>
      <c r="N1191" t="s">
        <v>4285</v>
      </c>
      <c r="O1191" t="s">
        <v>4279</v>
      </c>
      <c r="P1191">
        <v>1946.1</v>
      </c>
    </row>
    <row r="1192" spans="1:16" x14ac:dyDescent="0.3">
      <c r="A1192" t="s">
        <v>1204</v>
      </c>
      <c r="B1192" s="3">
        <v>45816</v>
      </c>
      <c r="C1192" s="7" t="str">
        <f t="shared" si="36"/>
        <v>2025</v>
      </c>
      <c r="D1192" s="7" t="str">
        <f t="shared" si="37"/>
        <v>Jun</v>
      </c>
      <c r="E1192" s="6" t="s">
        <v>2393</v>
      </c>
      <c r="F1192" s="5" t="s">
        <v>2409</v>
      </c>
      <c r="G1192">
        <v>3</v>
      </c>
      <c r="H1192">
        <v>616.39</v>
      </c>
      <c r="I1192" s="6" t="s">
        <v>3061</v>
      </c>
      <c r="J1192" s="6" t="s">
        <v>3067</v>
      </c>
      <c r="K1192" s="6" t="s">
        <v>3070</v>
      </c>
      <c r="L1192" t="s">
        <v>4265</v>
      </c>
      <c r="M1192">
        <v>6</v>
      </c>
      <c r="N1192" t="s">
        <v>4276</v>
      </c>
      <c r="O1192" t="s">
        <v>4278</v>
      </c>
      <c r="P1192">
        <v>1849.17</v>
      </c>
    </row>
    <row r="1193" spans="1:16" x14ac:dyDescent="0.3">
      <c r="A1193" t="s">
        <v>1205</v>
      </c>
      <c r="B1193" s="3">
        <v>45698</v>
      </c>
      <c r="C1193" s="7" t="str">
        <f t="shared" si="36"/>
        <v>2025</v>
      </c>
      <c r="D1193" s="7" t="str">
        <f t="shared" si="37"/>
        <v>Feb</v>
      </c>
      <c r="E1193" s="6" t="s">
        <v>2394</v>
      </c>
      <c r="F1193" s="5" t="s">
        <v>2409</v>
      </c>
      <c r="G1193">
        <v>4</v>
      </c>
      <c r="H1193">
        <v>376.43</v>
      </c>
      <c r="I1193" s="6" t="s">
        <v>2841</v>
      </c>
      <c r="J1193" s="6" t="s">
        <v>3068</v>
      </c>
      <c r="K1193" s="6" t="s">
        <v>3074</v>
      </c>
      <c r="L1193" t="s">
        <v>4266</v>
      </c>
      <c r="M1193">
        <v>5</v>
      </c>
      <c r="N1193" t="s">
        <v>4277</v>
      </c>
      <c r="O1193" t="s">
        <v>4278</v>
      </c>
      <c r="P1193">
        <v>1505.72</v>
      </c>
    </row>
    <row r="1194" spans="1:16" x14ac:dyDescent="0.3">
      <c r="A1194" t="s">
        <v>1206</v>
      </c>
      <c r="B1194" s="3">
        <v>45350</v>
      </c>
      <c r="C1194" s="7" t="str">
        <f t="shared" si="36"/>
        <v>2024</v>
      </c>
      <c r="D1194" s="7" t="str">
        <f t="shared" si="37"/>
        <v>Feb</v>
      </c>
      <c r="E1194" s="6" t="s">
        <v>2395</v>
      </c>
      <c r="F1194" s="5" t="s">
        <v>2406</v>
      </c>
      <c r="G1194">
        <v>3</v>
      </c>
      <c r="H1194">
        <v>432.85</v>
      </c>
      <c r="I1194" s="6" t="s">
        <v>2593</v>
      </c>
      <c r="J1194" s="6" t="s">
        <v>3066</v>
      </c>
      <c r="K1194" s="6" t="s">
        <v>3074</v>
      </c>
      <c r="L1194" t="s">
        <v>4267</v>
      </c>
      <c r="M1194">
        <v>4</v>
      </c>
      <c r="N1194" t="s">
        <v>4285</v>
      </c>
      <c r="O1194" t="s">
        <v>4278</v>
      </c>
      <c r="P1194">
        <v>1298.55</v>
      </c>
    </row>
    <row r="1195" spans="1:16" x14ac:dyDescent="0.3">
      <c r="A1195" t="s">
        <v>1207</v>
      </c>
      <c r="B1195" s="3">
        <v>45824</v>
      </c>
      <c r="C1195" s="7" t="str">
        <f t="shared" si="36"/>
        <v>2025</v>
      </c>
      <c r="D1195" s="7" t="str">
        <f t="shared" si="37"/>
        <v>Jun</v>
      </c>
      <c r="E1195" s="6" t="s">
        <v>2396</v>
      </c>
      <c r="F1195" s="5" t="s">
        <v>2405</v>
      </c>
      <c r="G1195">
        <v>1</v>
      </c>
      <c r="H1195">
        <v>687.89</v>
      </c>
      <c r="I1195" s="6" t="s">
        <v>2481</v>
      </c>
      <c r="J1195" s="6" t="s">
        <v>3069</v>
      </c>
      <c r="K1195" s="6" t="s">
        <v>3072</v>
      </c>
      <c r="L1195" t="s">
        <v>4268</v>
      </c>
      <c r="M1195">
        <v>1</v>
      </c>
      <c r="N1195" t="s">
        <v>4276</v>
      </c>
      <c r="O1195" t="s">
        <v>4280</v>
      </c>
      <c r="P1195">
        <v>687.89</v>
      </c>
    </row>
    <row r="1196" spans="1:16" x14ac:dyDescent="0.3">
      <c r="A1196" t="s">
        <v>1208</v>
      </c>
      <c r="B1196" s="3">
        <v>45249</v>
      </c>
      <c r="C1196" s="7" t="str">
        <f t="shared" si="36"/>
        <v>2023</v>
      </c>
      <c r="D1196" s="7" t="str">
        <f t="shared" si="37"/>
        <v>Nov</v>
      </c>
      <c r="E1196" s="6" t="s">
        <v>2397</v>
      </c>
      <c r="F1196" s="5" t="s">
        <v>2407</v>
      </c>
      <c r="G1196">
        <v>3</v>
      </c>
      <c r="H1196">
        <v>189.44</v>
      </c>
      <c r="I1196" s="6" t="s">
        <v>2582</v>
      </c>
      <c r="J1196" s="6" t="s">
        <v>3069</v>
      </c>
      <c r="K1196" s="6" t="s">
        <v>3074</v>
      </c>
      <c r="L1196" t="s">
        <v>4269</v>
      </c>
      <c r="M1196">
        <v>4</v>
      </c>
      <c r="N1196" t="s">
        <v>4276</v>
      </c>
      <c r="O1196" t="s">
        <v>4280</v>
      </c>
      <c r="P1196">
        <v>568.31999999999994</v>
      </c>
    </row>
    <row r="1197" spans="1:16" x14ac:dyDescent="0.3">
      <c r="A1197" t="s">
        <v>1209</v>
      </c>
      <c r="B1197" s="3">
        <v>45463</v>
      </c>
      <c r="C1197" s="7" t="str">
        <f t="shared" si="36"/>
        <v>2024</v>
      </c>
      <c r="D1197" s="7" t="str">
        <f t="shared" si="37"/>
        <v>Jun</v>
      </c>
      <c r="E1197" s="6" t="s">
        <v>2398</v>
      </c>
      <c r="F1197" s="5" t="s">
        <v>2409</v>
      </c>
      <c r="G1197">
        <v>1</v>
      </c>
      <c r="H1197">
        <v>107.04</v>
      </c>
      <c r="I1197" s="6" t="s">
        <v>3062</v>
      </c>
      <c r="J1197" s="6" t="s">
        <v>3067</v>
      </c>
      <c r="K1197" s="6" t="s">
        <v>3071</v>
      </c>
      <c r="L1197" t="s">
        <v>4270</v>
      </c>
      <c r="M1197">
        <v>6</v>
      </c>
      <c r="N1197" t="s">
        <v>4276</v>
      </c>
      <c r="O1197" t="s">
        <v>4282</v>
      </c>
      <c r="P1197">
        <v>107.04</v>
      </c>
    </row>
    <row r="1198" spans="1:16" x14ac:dyDescent="0.3">
      <c r="A1198" t="s">
        <v>1210</v>
      </c>
      <c r="B1198" s="3">
        <v>45355</v>
      </c>
      <c r="C1198" s="7" t="str">
        <f t="shared" si="36"/>
        <v>2024</v>
      </c>
      <c r="D1198" s="7" t="str">
        <f t="shared" si="37"/>
        <v>Mar</v>
      </c>
      <c r="E1198" s="6" t="s">
        <v>2399</v>
      </c>
      <c r="F1198" s="5" t="s">
        <v>2403</v>
      </c>
      <c r="G1198">
        <v>2</v>
      </c>
      <c r="H1198">
        <v>662.53</v>
      </c>
      <c r="I1198" s="6" t="s">
        <v>2730</v>
      </c>
      <c r="J1198" s="6" t="s">
        <v>3066</v>
      </c>
      <c r="K1198" s="6" t="s">
        <v>3071</v>
      </c>
      <c r="L1198" t="s">
        <v>4271</v>
      </c>
      <c r="M1198">
        <v>5</v>
      </c>
      <c r="N1198" t="s">
        <v>4285</v>
      </c>
      <c r="O1198" t="s">
        <v>4281</v>
      </c>
      <c r="P1198">
        <v>1325.06</v>
      </c>
    </row>
    <row r="1199" spans="1:16" x14ac:dyDescent="0.3">
      <c r="A1199" t="s">
        <v>1211</v>
      </c>
      <c r="B1199" s="3">
        <v>45120</v>
      </c>
      <c r="C1199" s="7" t="str">
        <f t="shared" si="36"/>
        <v>2023</v>
      </c>
      <c r="D1199" s="7" t="str">
        <f t="shared" si="37"/>
        <v>Jul</v>
      </c>
      <c r="E1199" s="6" t="s">
        <v>2400</v>
      </c>
      <c r="F1199" s="5" t="s">
        <v>2405</v>
      </c>
      <c r="G1199">
        <v>2</v>
      </c>
      <c r="H1199">
        <v>436.84</v>
      </c>
      <c r="I1199" s="6" t="s">
        <v>2413</v>
      </c>
      <c r="J1199" s="6" t="s">
        <v>3066</v>
      </c>
      <c r="K1199" s="6" t="s">
        <v>3073</v>
      </c>
      <c r="L1199" t="s">
        <v>4272</v>
      </c>
      <c r="M1199">
        <v>2</v>
      </c>
      <c r="N1199" t="s">
        <v>4276</v>
      </c>
      <c r="O1199" t="s">
        <v>4278</v>
      </c>
      <c r="P1199">
        <v>873.68</v>
      </c>
    </row>
    <row r="1200" spans="1:16" x14ac:dyDescent="0.3">
      <c r="A1200" t="s">
        <v>1212</v>
      </c>
      <c r="B1200" s="3">
        <v>45526</v>
      </c>
      <c r="C1200" s="7" t="str">
        <f t="shared" si="36"/>
        <v>2024</v>
      </c>
      <c r="D1200" s="7" t="str">
        <f t="shared" si="37"/>
        <v>Aug</v>
      </c>
      <c r="E1200" s="6" t="s">
        <v>2401</v>
      </c>
      <c r="F1200" s="5" t="s">
        <v>2406</v>
      </c>
      <c r="G1200">
        <v>4</v>
      </c>
      <c r="H1200">
        <v>262.52</v>
      </c>
      <c r="I1200" s="6" t="s">
        <v>3063</v>
      </c>
      <c r="J1200" s="6" t="s">
        <v>3065</v>
      </c>
      <c r="K1200" s="6" t="s">
        <v>3071</v>
      </c>
      <c r="L1200" t="s">
        <v>4273</v>
      </c>
      <c r="M1200">
        <v>4</v>
      </c>
      <c r="N1200" t="s">
        <v>4277</v>
      </c>
      <c r="O1200" t="s">
        <v>4278</v>
      </c>
      <c r="P1200">
        <v>1050.08</v>
      </c>
    </row>
    <row r="1201" spans="1:16" x14ac:dyDescent="0.3">
      <c r="A1201" t="s">
        <v>1213</v>
      </c>
      <c r="B1201" s="3">
        <v>45088</v>
      </c>
      <c r="C1201" s="7" t="str">
        <f t="shared" si="36"/>
        <v>2023</v>
      </c>
      <c r="D1201" s="7" t="str">
        <f t="shared" si="37"/>
        <v>Jun</v>
      </c>
      <c r="E1201" s="6" t="s">
        <v>2402</v>
      </c>
      <c r="F1201" s="5" t="s">
        <v>2405</v>
      </c>
      <c r="G1201">
        <v>4</v>
      </c>
      <c r="H1201">
        <v>560.58000000000004</v>
      </c>
      <c r="I1201" s="6" t="s">
        <v>3064</v>
      </c>
      <c r="J1201" s="6" t="s">
        <v>3068</v>
      </c>
      <c r="K1201" s="6" t="s">
        <v>3072</v>
      </c>
      <c r="L1201" t="s">
        <v>4274</v>
      </c>
      <c r="M1201">
        <v>6</v>
      </c>
      <c r="N1201" t="s">
        <v>4275</v>
      </c>
      <c r="O1201" t="s">
        <v>4279</v>
      </c>
      <c r="P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F30E5-739C-473F-AD03-753362BB0BB1}">
  <dimension ref="A1:T1201"/>
  <sheetViews>
    <sheetView topLeftCell="A2" workbookViewId="0">
      <selection activeCell="F14" activeCellId="4" sqref="F10 F11 F12 F13 F14"/>
    </sheetView>
  </sheetViews>
  <sheetFormatPr defaultRowHeight="14.4" x14ac:dyDescent="0.3"/>
  <cols>
    <col min="1" max="1" width="13" customWidth="1"/>
    <col min="2" max="4" width="16.33203125" customWidth="1"/>
    <col min="5" max="5" width="18.33203125" customWidth="1"/>
    <col min="6" max="6" width="15.33203125" customWidth="1"/>
    <col min="7" max="7" width="13.77734375" customWidth="1"/>
    <col min="8" max="8" width="21.109375" customWidth="1"/>
    <col min="9" max="9" width="25.109375" customWidth="1"/>
    <col min="10" max="10" width="22.5546875" customWidth="1"/>
    <col min="11" max="11" width="18.88671875" customWidth="1"/>
    <col min="12" max="12" width="22.21875" customWidth="1"/>
    <col min="13" max="13" width="17.77734375" customWidth="1"/>
    <col min="14" max="14" width="17.21875" customWidth="1"/>
    <col min="15" max="15" width="17.5546875" customWidth="1"/>
    <col min="16" max="16" width="23" customWidth="1"/>
    <col min="20" max="20" width="14.88671875" customWidth="1"/>
    <col min="21" max="21" width="21.44140625" customWidth="1"/>
    <col min="22" max="22" width="12.77734375" bestFit="1" customWidth="1"/>
    <col min="24" max="24" width="12.77734375" customWidth="1"/>
    <col min="25" max="25" width="23.77734375" customWidth="1"/>
  </cols>
  <sheetData>
    <row r="1" spans="1:20" x14ac:dyDescent="0.3">
      <c r="A1" s="1"/>
      <c r="B1" s="2"/>
      <c r="C1" s="2"/>
      <c r="D1" s="2"/>
      <c r="E1" s="1"/>
      <c r="F1" s="4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0" x14ac:dyDescent="0.3">
      <c r="B2" s="3"/>
      <c r="I2" s="6"/>
      <c r="J2" s="6"/>
      <c r="K2" s="6"/>
      <c r="Q2" s="6"/>
    </row>
    <row r="3" spans="1:20" ht="25.8" x14ac:dyDescent="0.5">
      <c r="B3" s="3"/>
      <c r="D3" s="8" t="s">
        <v>4286</v>
      </c>
      <c r="I3" s="6"/>
      <c r="J3" s="6"/>
      <c r="K3" s="6"/>
    </row>
    <row r="4" spans="1:20" x14ac:dyDescent="0.3">
      <c r="B4" s="3"/>
      <c r="E4" s="6"/>
      <c r="I4" s="6"/>
      <c r="J4" s="6"/>
      <c r="K4" s="6"/>
    </row>
    <row r="5" spans="1:20" ht="18" x14ac:dyDescent="0.35">
      <c r="B5" s="3"/>
      <c r="C5" s="6"/>
      <c r="D5" s="9" t="s">
        <v>4287</v>
      </c>
      <c r="I5" s="6"/>
      <c r="J5" s="6"/>
      <c r="K5" s="6"/>
      <c r="T5" s="6"/>
    </row>
    <row r="6" spans="1:20" x14ac:dyDescent="0.3">
      <c r="B6" s="3"/>
      <c r="C6" s="7"/>
      <c r="D6" s="7"/>
      <c r="E6" s="6"/>
      <c r="F6" s="5"/>
      <c r="I6" s="6"/>
      <c r="J6" s="6"/>
      <c r="K6" s="6"/>
    </row>
    <row r="7" spans="1:20" x14ac:dyDescent="0.3">
      <c r="I7" s="6"/>
      <c r="J7" s="6"/>
      <c r="K7" s="6"/>
    </row>
    <row r="8" spans="1:20" ht="15.6" x14ac:dyDescent="0.3">
      <c r="B8" s="10" t="s">
        <v>4297</v>
      </c>
      <c r="C8" s="10"/>
      <c r="G8" s="10" t="s">
        <v>4295</v>
      </c>
      <c r="I8" s="6"/>
      <c r="J8" s="6"/>
      <c r="K8" s="6"/>
    </row>
    <row r="9" spans="1:20" x14ac:dyDescent="0.3">
      <c r="B9" s="42" t="s">
        <v>4293</v>
      </c>
      <c r="C9" s="43" t="s">
        <v>4294</v>
      </c>
      <c r="F9" s="42" t="s">
        <v>4293</v>
      </c>
      <c r="G9" s="43" t="s">
        <v>4294</v>
      </c>
      <c r="I9" s="6"/>
      <c r="J9" s="6"/>
      <c r="K9" s="6"/>
    </row>
    <row r="10" spans="1:20" x14ac:dyDescent="0.3">
      <c r="B10" t="s">
        <v>4288</v>
      </c>
      <c r="C10" s="12">
        <f>AVERAGE('CLEANED DATA'!$P$2:$P$1201)</f>
        <v>1053.9683000000005</v>
      </c>
      <c r="F10" t="s">
        <v>4288</v>
      </c>
      <c r="G10" s="12">
        <f>AVERAGE('CLEANED DATA'!$H$2:$H$1201)</f>
        <v>356.41275000000007</v>
      </c>
      <c r="I10" s="6"/>
      <c r="J10" s="6"/>
      <c r="K10" s="6"/>
    </row>
    <row r="11" spans="1:20" x14ac:dyDescent="0.3">
      <c r="B11" t="s">
        <v>4289</v>
      </c>
      <c r="C11" s="12">
        <f>MEDIAN('CLEANED DATA'!$P$2:$P$1201)</f>
        <v>823.61500000000001</v>
      </c>
      <c r="F11" t="s">
        <v>4289</v>
      </c>
      <c r="G11" s="12">
        <f>MEDIAN('CLEANED DATA'!$H$2:$H$1201)</f>
        <v>364.21</v>
      </c>
      <c r="I11" s="6"/>
      <c r="J11" s="6"/>
      <c r="K11" s="6"/>
    </row>
    <row r="12" spans="1:20" x14ac:dyDescent="0.3">
      <c r="B12" t="s">
        <v>4290</v>
      </c>
      <c r="C12" s="13">
        <f>COUNTA('CLEANED DATA'!$P$2:$P$1201)</f>
        <v>1200</v>
      </c>
      <c r="F12" t="s">
        <v>4290</v>
      </c>
      <c r="G12" s="13">
        <f>COUNTA('CLEANED DATA'!$H$2:$H$1201)</f>
        <v>1200</v>
      </c>
      <c r="I12" s="6"/>
      <c r="J12" s="6"/>
      <c r="K12" s="6"/>
    </row>
    <row r="13" spans="1:20" x14ac:dyDescent="0.3">
      <c r="B13" t="s">
        <v>4291</v>
      </c>
      <c r="C13" s="13">
        <f>MAX('CLEANED DATA'!$P$2:$P$1201)</f>
        <v>3456.4</v>
      </c>
      <c r="F13" t="s">
        <v>4291</v>
      </c>
      <c r="G13" s="13">
        <f>MAX('CLEANED DATA'!$H$2:$H$1201)</f>
        <v>699.93</v>
      </c>
      <c r="I13" s="6"/>
      <c r="J13" s="6"/>
      <c r="K13" s="6"/>
    </row>
    <row r="14" spans="1:20" x14ac:dyDescent="0.3">
      <c r="B14" t="s">
        <v>4292</v>
      </c>
      <c r="C14" s="14">
        <f>SUM('CLEANED DATA'!$P$2:$P$1201)</f>
        <v>1264761.9600000004</v>
      </c>
      <c r="F14" t="s">
        <v>4292</v>
      </c>
      <c r="G14" s="14">
        <f>SUM('CLEANED DATA'!$H$2:$H$1201)</f>
        <v>427695.3000000001</v>
      </c>
      <c r="I14" s="6"/>
      <c r="J14" s="6"/>
      <c r="K14" s="6"/>
    </row>
    <row r="15" spans="1:20" x14ac:dyDescent="0.3">
      <c r="I15" s="6"/>
      <c r="J15" s="6"/>
      <c r="K15" s="6"/>
    </row>
    <row r="16" spans="1:20" x14ac:dyDescent="0.3">
      <c r="I16" s="6"/>
      <c r="J16" s="6"/>
      <c r="K16" s="6"/>
    </row>
    <row r="17" spans="2:11" x14ac:dyDescent="0.3">
      <c r="I17" s="6"/>
      <c r="J17" s="6"/>
      <c r="K17" s="6"/>
    </row>
    <row r="18" spans="2:11" ht="15.6" x14ac:dyDescent="0.3">
      <c r="B18" s="10" t="s">
        <v>4296</v>
      </c>
      <c r="G18" s="10" t="s">
        <v>4298</v>
      </c>
      <c r="I18" s="6"/>
      <c r="J18" s="6"/>
      <c r="K18" s="6"/>
    </row>
    <row r="19" spans="2:11" x14ac:dyDescent="0.3">
      <c r="B19" s="42" t="s">
        <v>4293</v>
      </c>
      <c r="C19" s="43" t="s">
        <v>4294</v>
      </c>
      <c r="F19" s="42" t="s">
        <v>4293</v>
      </c>
      <c r="G19" s="43" t="s">
        <v>4294</v>
      </c>
      <c r="I19" s="6"/>
      <c r="J19" s="6"/>
      <c r="K19" s="6"/>
    </row>
    <row r="20" spans="2:11" x14ac:dyDescent="0.3">
      <c r="B20" t="s">
        <v>4288</v>
      </c>
      <c r="C20" s="12">
        <f>AVERAGE('CLEANED DATA'!$G$2:$G$1201)</f>
        <v>2.9458333333333333</v>
      </c>
      <c r="F20" t="s">
        <v>4288</v>
      </c>
      <c r="G20" s="12">
        <f>AVERAGE('CLEANED DATA'!$M$2:$M$1201)</f>
        <v>5.4850000000000003</v>
      </c>
      <c r="I20" s="6"/>
      <c r="J20" s="6"/>
      <c r="K20" s="6"/>
    </row>
    <row r="21" spans="2:11" x14ac:dyDescent="0.3">
      <c r="B21" t="s">
        <v>4289</v>
      </c>
      <c r="C21" s="12">
        <f>MEDIAN('CLEANED DATA'!$G$2:$G$1201)</f>
        <v>3</v>
      </c>
      <c r="F21" t="s">
        <v>4289</v>
      </c>
      <c r="G21" s="12">
        <f>MEDIAN('CLEANED DATA'!$M$2:$M$1201)</f>
        <v>5</v>
      </c>
      <c r="I21" s="6"/>
      <c r="J21" s="6"/>
      <c r="K21" s="6"/>
    </row>
    <row r="22" spans="2:11" x14ac:dyDescent="0.3">
      <c r="B22" t="s">
        <v>4290</v>
      </c>
      <c r="C22" s="13">
        <f>COUNTA('CLEANED DATA'!$G$2:$G$1201)</f>
        <v>1200</v>
      </c>
      <c r="F22" t="s">
        <v>4290</v>
      </c>
      <c r="G22" s="13">
        <f>COUNTA('CLEANED DATA'!$M$2:$M$1201)</f>
        <v>1200</v>
      </c>
      <c r="I22" s="6"/>
      <c r="J22" s="6"/>
      <c r="K22" s="6"/>
    </row>
    <row r="23" spans="2:11" x14ac:dyDescent="0.3">
      <c r="B23" t="s">
        <v>4291</v>
      </c>
      <c r="C23" s="13">
        <f>MAX('CLEANED DATA'!$G$2:$G$1201)</f>
        <v>5</v>
      </c>
      <c r="F23" t="s">
        <v>4291</v>
      </c>
      <c r="G23" s="13">
        <f>MAX('CLEANED DATA'!$M$2:$M$1201)</f>
        <v>10</v>
      </c>
      <c r="I23" s="6"/>
      <c r="J23" s="6"/>
      <c r="K23" s="6"/>
    </row>
    <row r="24" spans="2:11" x14ac:dyDescent="0.3">
      <c r="B24" t="s">
        <v>4292</v>
      </c>
      <c r="C24" s="14">
        <f>SUM('CLEANED DATA'!$G$2:$G$1201)</f>
        <v>3535</v>
      </c>
      <c r="F24" t="s">
        <v>4292</v>
      </c>
      <c r="G24" s="14">
        <f>SUM('CLEANED DATA'!$M$2:$M$1201)</f>
        <v>6582</v>
      </c>
      <c r="I24" s="6"/>
      <c r="J24" s="6"/>
      <c r="K24" s="6"/>
    </row>
    <row r="25" spans="2:11" x14ac:dyDescent="0.3">
      <c r="B25" s="3"/>
      <c r="C25" s="7"/>
      <c r="D25" s="7"/>
      <c r="E25" s="6"/>
      <c r="F25" s="5"/>
      <c r="I25" s="6"/>
      <c r="J25" s="6"/>
      <c r="K25" s="6"/>
    </row>
    <row r="26" spans="2:11" x14ac:dyDescent="0.3">
      <c r="B26" s="3"/>
      <c r="C26" s="7"/>
      <c r="D26" s="7"/>
      <c r="E26" s="6"/>
      <c r="F26" s="5"/>
      <c r="I26" s="6"/>
      <c r="J26" s="6"/>
      <c r="K26" s="6"/>
    </row>
    <row r="27" spans="2:11" x14ac:dyDescent="0.3">
      <c r="B27" s="3"/>
      <c r="C27" s="7"/>
      <c r="D27" s="7"/>
      <c r="E27" s="6"/>
      <c r="F27" s="5"/>
      <c r="I27" s="6"/>
      <c r="J27" s="6"/>
      <c r="K27" s="6"/>
    </row>
    <row r="28" spans="2:11" x14ac:dyDescent="0.3">
      <c r="J28" s="6"/>
      <c r="K28" s="6"/>
    </row>
    <row r="29" spans="2:11" x14ac:dyDescent="0.3">
      <c r="J29" s="6"/>
      <c r="K29" s="6"/>
    </row>
    <row r="30" spans="2:11" x14ac:dyDescent="0.3">
      <c r="J30" s="6"/>
      <c r="K30" s="6"/>
    </row>
    <row r="31" spans="2:11" x14ac:dyDescent="0.3">
      <c r="J31" s="6"/>
      <c r="K31" s="6"/>
    </row>
    <row r="32" spans="2:11" x14ac:dyDescent="0.3">
      <c r="J32" s="6"/>
      <c r="K32" s="6"/>
    </row>
    <row r="33" spans="10:11" x14ac:dyDescent="0.3">
      <c r="J33" s="6"/>
      <c r="K33" s="6"/>
    </row>
    <row r="34" spans="10:11" x14ac:dyDescent="0.3">
      <c r="J34" s="6"/>
      <c r="K34" s="6"/>
    </row>
    <row r="35" spans="10:11" x14ac:dyDescent="0.3">
      <c r="J35" s="6"/>
      <c r="K35" s="6"/>
    </row>
    <row r="36" spans="10:11" x14ac:dyDescent="0.3">
      <c r="J36" s="6"/>
      <c r="K36" s="6"/>
    </row>
    <row r="37" spans="10:11" x14ac:dyDescent="0.3">
      <c r="J37" s="6"/>
      <c r="K37" s="6"/>
    </row>
    <row r="38" spans="10:11" x14ac:dyDescent="0.3">
      <c r="J38" s="6"/>
      <c r="K38" s="6"/>
    </row>
    <row r="39" spans="10:11" x14ac:dyDescent="0.3">
      <c r="J39" s="6"/>
      <c r="K39" s="6"/>
    </row>
    <row r="40" spans="10:11" x14ac:dyDescent="0.3">
      <c r="J40" s="6"/>
      <c r="K40" s="6"/>
    </row>
    <row r="41" spans="10:11" x14ac:dyDescent="0.3">
      <c r="J41" s="6"/>
      <c r="K41" s="6"/>
    </row>
    <row r="42" spans="10:11" x14ac:dyDescent="0.3">
      <c r="J42" s="6"/>
      <c r="K42" s="6"/>
    </row>
    <row r="43" spans="10:11" x14ac:dyDescent="0.3">
      <c r="J43" s="6"/>
      <c r="K43" s="6"/>
    </row>
    <row r="44" spans="10:11" x14ac:dyDescent="0.3">
      <c r="J44" s="6"/>
      <c r="K44" s="6"/>
    </row>
    <row r="45" spans="10:11" x14ac:dyDescent="0.3">
      <c r="J45" s="6"/>
      <c r="K45" s="6"/>
    </row>
    <row r="46" spans="10:11" x14ac:dyDescent="0.3">
      <c r="J46" s="6"/>
      <c r="K46" s="6"/>
    </row>
    <row r="47" spans="10:11" x14ac:dyDescent="0.3">
      <c r="J47" s="6"/>
      <c r="K47" s="6"/>
    </row>
    <row r="48" spans="10:11" x14ac:dyDescent="0.3">
      <c r="J48" s="6"/>
      <c r="K48" s="6"/>
    </row>
    <row r="49" spans="2:11" x14ac:dyDescent="0.3">
      <c r="B49" s="3"/>
      <c r="C49" s="7"/>
      <c r="D49" s="7"/>
      <c r="E49" s="6"/>
      <c r="F49" s="5"/>
      <c r="I49" s="6"/>
      <c r="J49" s="6"/>
      <c r="K49" s="6"/>
    </row>
    <row r="50" spans="2:11" x14ac:dyDescent="0.3">
      <c r="B50" s="3"/>
      <c r="C50" s="7"/>
      <c r="D50" s="7"/>
      <c r="E50" s="6"/>
      <c r="F50" s="5"/>
      <c r="I50" s="6"/>
      <c r="J50" s="6"/>
      <c r="K50" s="6"/>
    </row>
    <row r="51" spans="2:11" x14ac:dyDescent="0.3">
      <c r="B51" s="3"/>
      <c r="C51" s="7"/>
      <c r="D51" s="7"/>
      <c r="E51" s="6"/>
      <c r="F51" s="5"/>
      <c r="I51" s="6"/>
      <c r="J51" s="6"/>
      <c r="K51" s="6"/>
    </row>
    <row r="52" spans="2:11" x14ac:dyDescent="0.3">
      <c r="B52" s="3"/>
      <c r="C52" s="7"/>
      <c r="D52" s="7"/>
      <c r="E52" s="6"/>
      <c r="F52" s="5"/>
      <c r="I52" s="6"/>
      <c r="J52" s="6"/>
      <c r="K52" s="6"/>
    </row>
    <row r="53" spans="2:11" x14ac:dyDescent="0.3">
      <c r="B53" s="3"/>
      <c r="C53" s="7"/>
      <c r="D53" s="7"/>
      <c r="E53" s="6"/>
      <c r="F53" s="5"/>
      <c r="I53" s="6"/>
      <c r="J53" s="6"/>
      <c r="K53" s="6"/>
    </row>
    <row r="54" spans="2:11" x14ac:dyDescent="0.3">
      <c r="B54" s="3"/>
      <c r="C54" s="7"/>
      <c r="D54" s="7"/>
      <c r="E54" s="6"/>
      <c r="F54" s="5"/>
      <c r="I54" s="6"/>
      <c r="J54" s="6"/>
      <c r="K54" s="6"/>
    </row>
    <row r="55" spans="2:11" x14ac:dyDescent="0.3">
      <c r="B55" s="3"/>
      <c r="C55" s="7"/>
      <c r="D55" s="7"/>
      <c r="E55" s="6"/>
      <c r="F55" s="5"/>
      <c r="I55" s="6"/>
      <c r="J55" s="6"/>
      <c r="K55" s="6"/>
    </row>
    <row r="56" spans="2:11" x14ac:dyDescent="0.3">
      <c r="B56" s="3"/>
      <c r="C56" s="7"/>
      <c r="D56" s="7"/>
      <c r="E56" s="6"/>
      <c r="F56" s="5"/>
      <c r="I56" s="6"/>
      <c r="J56" s="6"/>
      <c r="K56" s="6"/>
    </row>
    <row r="57" spans="2:11" x14ac:dyDescent="0.3">
      <c r="B57" s="3"/>
      <c r="C57" s="7"/>
      <c r="D57" s="7"/>
      <c r="E57" s="6"/>
      <c r="F57" s="5"/>
      <c r="I57" s="6"/>
      <c r="J57" s="6"/>
      <c r="K57" s="6"/>
    </row>
    <row r="58" spans="2:11" x14ac:dyDescent="0.3">
      <c r="B58" s="3"/>
      <c r="C58" s="7"/>
      <c r="D58" s="7"/>
      <c r="E58" s="6"/>
      <c r="F58" s="5"/>
      <c r="I58" s="6"/>
      <c r="J58" s="6"/>
      <c r="K58" s="6"/>
    </row>
    <row r="59" spans="2:11" x14ac:dyDescent="0.3">
      <c r="B59" s="3"/>
      <c r="C59" s="7"/>
      <c r="D59" s="7"/>
      <c r="E59" s="6"/>
      <c r="F59" s="5"/>
      <c r="I59" s="6"/>
      <c r="J59" s="6"/>
      <c r="K59" s="6"/>
    </row>
    <row r="60" spans="2:11" x14ac:dyDescent="0.3">
      <c r="B60" s="3"/>
      <c r="C60" s="7"/>
      <c r="D60" s="7"/>
      <c r="E60" s="6"/>
      <c r="F60" s="5"/>
      <c r="I60" s="6"/>
      <c r="J60" s="6"/>
      <c r="K60" s="6"/>
    </row>
    <row r="61" spans="2:11" x14ac:dyDescent="0.3">
      <c r="B61" s="3"/>
      <c r="C61" s="7"/>
      <c r="D61" s="7"/>
      <c r="E61" s="6"/>
      <c r="F61" s="5"/>
      <c r="I61" s="6"/>
      <c r="J61" s="6"/>
      <c r="K61" s="6"/>
    </row>
    <row r="62" spans="2:11" x14ac:dyDescent="0.3">
      <c r="B62" s="3"/>
      <c r="C62" s="7"/>
      <c r="D62" s="7"/>
      <c r="E62" s="6"/>
      <c r="F62" s="5"/>
      <c r="I62" s="6"/>
      <c r="J62" s="6"/>
      <c r="K62" s="6"/>
    </row>
    <row r="63" spans="2:11" x14ac:dyDescent="0.3">
      <c r="B63" s="3"/>
      <c r="C63" s="7"/>
      <c r="D63" s="7"/>
      <c r="E63" s="6"/>
      <c r="F63" s="5"/>
      <c r="I63" s="6"/>
      <c r="J63" s="6"/>
      <c r="K63" s="6"/>
    </row>
    <row r="64" spans="2:11" x14ac:dyDescent="0.3">
      <c r="B64" s="3"/>
      <c r="C64" s="7"/>
      <c r="D64" s="7"/>
      <c r="E64" s="6"/>
      <c r="F64" s="5"/>
      <c r="I64" s="6"/>
      <c r="J64" s="6"/>
      <c r="K64" s="6"/>
    </row>
    <row r="65" spans="2:11" x14ac:dyDescent="0.3">
      <c r="B65" s="3"/>
      <c r="C65" s="7"/>
      <c r="D65" s="7"/>
      <c r="E65" s="6"/>
      <c r="F65" s="5"/>
      <c r="I65" s="6"/>
      <c r="J65" s="6"/>
      <c r="K65" s="6"/>
    </row>
    <row r="66" spans="2:11" x14ac:dyDescent="0.3">
      <c r="B66" s="3"/>
      <c r="C66" s="7"/>
      <c r="D66" s="7"/>
      <c r="E66" s="6"/>
      <c r="F66" s="5"/>
      <c r="I66" s="6"/>
      <c r="J66" s="6"/>
      <c r="K66" s="6"/>
    </row>
    <row r="67" spans="2:11" x14ac:dyDescent="0.3">
      <c r="B67" s="3"/>
      <c r="C67" s="7"/>
      <c r="D67" s="7"/>
      <c r="E67" s="6"/>
      <c r="F67" s="5"/>
      <c r="I67" s="6"/>
      <c r="J67" s="6"/>
      <c r="K67" s="6"/>
    </row>
    <row r="68" spans="2:11" x14ac:dyDescent="0.3">
      <c r="B68" s="3"/>
      <c r="C68" s="7"/>
      <c r="D68" s="7"/>
      <c r="E68" s="6"/>
      <c r="F68" s="5"/>
      <c r="I68" s="6"/>
      <c r="J68" s="6"/>
      <c r="K68" s="6"/>
    </row>
    <row r="69" spans="2:11" x14ac:dyDescent="0.3">
      <c r="B69" s="3"/>
      <c r="C69" s="7"/>
      <c r="D69" s="7"/>
      <c r="E69" s="6"/>
      <c r="F69" s="5"/>
      <c r="I69" s="6"/>
      <c r="J69" s="6"/>
      <c r="K69" s="6"/>
    </row>
    <row r="70" spans="2:11" x14ac:dyDescent="0.3">
      <c r="B70" s="3"/>
      <c r="C70" s="7"/>
      <c r="D70" s="7"/>
      <c r="E70" s="6"/>
      <c r="F70" s="5"/>
      <c r="I70" s="6"/>
      <c r="J70" s="6"/>
      <c r="K70" s="6"/>
    </row>
    <row r="71" spans="2:11" x14ac:dyDescent="0.3">
      <c r="B71" s="3"/>
      <c r="C71" s="7"/>
      <c r="D71" s="7"/>
      <c r="E71" s="6"/>
      <c r="F71" s="5"/>
      <c r="I71" s="6"/>
      <c r="J71" s="6"/>
      <c r="K71" s="6"/>
    </row>
    <row r="72" spans="2:11" x14ac:dyDescent="0.3">
      <c r="B72" s="3"/>
      <c r="C72" s="7"/>
      <c r="D72" s="7"/>
      <c r="E72" s="6"/>
      <c r="F72" s="5"/>
      <c r="I72" s="6"/>
      <c r="J72" s="6"/>
      <c r="K72" s="6"/>
    </row>
    <row r="73" spans="2:11" x14ac:dyDescent="0.3">
      <c r="B73" s="3"/>
      <c r="C73" s="7"/>
      <c r="D73" s="7"/>
      <c r="E73" s="6"/>
      <c r="F73" s="5"/>
      <c r="I73" s="6"/>
      <c r="J73" s="6"/>
      <c r="K73" s="6"/>
    </row>
    <row r="74" spans="2:11" x14ac:dyDescent="0.3">
      <c r="B74" s="3"/>
      <c r="C74" s="7"/>
      <c r="D74" s="7"/>
      <c r="E74" s="6"/>
      <c r="F74" s="5"/>
      <c r="I74" s="6"/>
      <c r="J74" s="6"/>
      <c r="K74" s="6"/>
    </row>
    <row r="75" spans="2:11" x14ac:dyDescent="0.3">
      <c r="B75" s="3"/>
      <c r="C75" s="7"/>
      <c r="D75" s="7"/>
      <c r="E75" s="6"/>
      <c r="F75" s="5"/>
      <c r="I75" s="6"/>
      <c r="J75" s="6"/>
      <c r="K75" s="6"/>
    </row>
    <row r="76" spans="2:11" x14ac:dyDescent="0.3">
      <c r="B76" s="3"/>
      <c r="C76" s="7"/>
      <c r="D76" s="7"/>
      <c r="E76" s="6"/>
      <c r="F76" s="5"/>
      <c r="I76" s="6"/>
      <c r="J76" s="6"/>
      <c r="K76" s="6"/>
    </row>
    <row r="77" spans="2:11" x14ac:dyDescent="0.3">
      <c r="B77" s="3"/>
      <c r="C77" s="7"/>
      <c r="D77" s="7"/>
      <c r="E77" s="6"/>
      <c r="F77" s="5"/>
      <c r="I77" s="6"/>
      <c r="J77" s="6"/>
      <c r="K77" s="6"/>
    </row>
    <row r="78" spans="2:11" x14ac:dyDescent="0.3">
      <c r="B78" s="3"/>
      <c r="C78" s="7"/>
      <c r="D78" s="7"/>
      <c r="E78" s="6"/>
      <c r="F78" s="5"/>
      <c r="I78" s="6"/>
      <c r="J78" s="6"/>
      <c r="K78" s="6"/>
    </row>
    <row r="79" spans="2:11" x14ac:dyDescent="0.3">
      <c r="B79" s="3"/>
      <c r="C79" s="7"/>
      <c r="D79" s="7"/>
      <c r="E79" s="6"/>
      <c r="F79" s="5"/>
      <c r="I79" s="6"/>
      <c r="J79" s="6"/>
      <c r="K79" s="6"/>
    </row>
    <row r="80" spans="2:11" x14ac:dyDescent="0.3">
      <c r="B80" s="3"/>
      <c r="C80" s="7"/>
      <c r="D80" s="7"/>
      <c r="E80" s="6"/>
      <c r="F80" s="5"/>
      <c r="I80" s="6"/>
      <c r="J80" s="6"/>
      <c r="K80" s="6"/>
    </row>
    <row r="81" spans="2:11" x14ac:dyDescent="0.3">
      <c r="B81" s="3"/>
      <c r="C81" s="7"/>
      <c r="D81" s="7"/>
      <c r="E81" s="6"/>
      <c r="F81" s="5"/>
      <c r="I81" s="6"/>
      <c r="J81" s="6"/>
      <c r="K81" s="6"/>
    </row>
    <row r="82" spans="2:11" x14ac:dyDescent="0.3">
      <c r="B82" s="3"/>
      <c r="C82" s="7"/>
      <c r="D82" s="7"/>
      <c r="E82" s="6"/>
      <c r="F82" s="5"/>
      <c r="I82" s="6"/>
      <c r="J82" s="6"/>
      <c r="K82" s="6"/>
    </row>
    <row r="83" spans="2:11" x14ac:dyDescent="0.3">
      <c r="B83" s="3"/>
      <c r="C83" s="7"/>
      <c r="D83" s="7"/>
      <c r="E83" s="6"/>
      <c r="F83" s="5"/>
      <c r="I83" s="6"/>
      <c r="J83" s="6"/>
      <c r="K83" s="6"/>
    </row>
    <row r="84" spans="2:11" x14ac:dyDescent="0.3">
      <c r="B84" s="3"/>
      <c r="C84" s="7"/>
      <c r="D84" s="7"/>
      <c r="E84" s="6"/>
      <c r="F84" s="5"/>
      <c r="I84" s="6"/>
      <c r="J84" s="6"/>
      <c r="K84" s="6"/>
    </row>
    <row r="85" spans="2:11" x14ac:dyDescent="0.3">
      <c r="B85" s="3"/>
      <c r="C85" s="7"/>
      <c r="D85" s="7"/>
      <c r="E85" s="6"/>
      <c r="F85" s="5"/>
      <c r="I85" s="6"/>
      <c r="J85" s="6"/>
      <c r="K85" s="6"/>
    </row>
    <row r="86" spans="2:11" x14ac:dyDescent="0.3">
      <c r="B86" s="3"/>
      <c r="C86" s="7"/>
      <c r="D86" s="7"/>
      <c r="E86" s="6"/>
      <c r="F86" s="5"/>
      <c r="I86" s="6"/>
      <c r="J86" s="6"/>
      <c r="K86" s="6"/>
    </row>
    <row r="87" spans="2:11" x14ac:dyDescent="0.3">
      <c r="B87" s="3"/>
      <c r="C87" s="7"/>
      <c r="D87" s="7"/>
      <c r="E87" s="6"/>
      <c r="F87" s="5"/>
      <c r="I87" s="6"/>
      <c r="J87" s="6"/>
      <c r="K87" s="6"/>
    </row>
    <row r="88" spans="2:11" x14ac:dyDescent="0.3">
      <c r="B88" s="3"/>
      <c r="C88" s="7"/>
      <c r="D88" s="7"/>
      <c r="E88" s="6"/>
      <c r="F88" s="5"/>
      <c r="I88" s="6"/>
      <c r="J88" s="6"/>
      <c r="K88" s="6"/>
    </row>
    <row r="89" spans="2:11" x14ac:dyDescent="0.3">
      <c r="B89" s="3"/>
      <c r="C89" s="7"/>
      <c r="D89" s="7"/>
      <c r="E89" s="6"/>
      <c r="F89" s="5"/>
      <c r="I89" s="6"/>
      <c r="J89" s="6"/>
      <c r="K89" s="6"/>
    </row>
    <row r="90" spans="2:11" x14ac:dyDescent="0.3">
      <c r="B90" s="3"/>
      <c r="C90" s="7"/>
      <c r="D90" s="7"/>
      <c r="E90" s="6"/>
      <c r="F90" s="5"/>
      <c r="I90" s="6"/>
      <c r="J90" s="6"/>
      <c r="K90" s="6"/>
    </row>
    <row r="91" spans="2:11" x14ac:dyDescent="0.3">
      <c r="B91" s="3"/>
      <c r="C91" s="7"/>
      <c r="D91" s="7"/>
      <c r="E91" s="6"/>
      <c r="F91" s="5"/>
      <c r="I91" s="6"/>
      <c r="J91" s="6"/>
      <c r="K91" s="6"/>
    </row>
    <row r="92" spans="2:11" x14ac:dyDescent="0.3">
      <c r="B92" s="3"/>
      <c r="C92" s="7"/>
      <c r="D92" s="7"/>
      <c r="E92" s="6"/>
      <c r="F92" s="5"/>
      <c r="I92" s="6"/>
      <c r="J92" s="6"/>
      <c r="K92" s="6"/>
    </row>
    <row r="93" spans="2:11" x14ac:dyDescent="0.3">
      <c r="B93" s="3"/>
      <c r="C93" s="7"/>
      <c r="D93" s="7"/>
      <c r="E93" s="6"/>
      <c r="F93" s="5"/>
      <c r="I93" s="6"/>
      <c r="J93" s="6"/>
      <c r="K93" s="6"/>
    </row>
    <row r="94" spans="2:11" x14ac:dyDescent="0.3">
      <c r="B94" s="3"/>
      <c r="C94" s="7"/>
      <c r="D94" s="7"/>
      <c r="E94" s="6"/>
      <c r="F94" s="5"/>
      <c r="I94" s="6"/>
      <c r="J94" s="6"/>
      <c r="K94" s="6"/>
    </row>
    <row r="95" spans="2:11" x14ac:dyDescent="0.3">
      <c r="B95" s="3"/>
      <c r="C95" s="7"/>
      <c r="D95" s="7"/>
      <c r="E95" s="6"/>
      <c r="F95" s="5"/>
      <c r="I95" s="6"/>
      <c r="J95" s="6"/>
      <c r="K95" s="6"/>
    </row>
    <row r="96" spans="2:11" x14ac:dyDescent="0.3">
      <c r="B96" s="3"/>
      <c r="C96" s="7"/>
      <c r="D96" s="7"/>
      <c r="E96" s="6"/>
      <c r="F96" s="5"/>
      <c r="I96" s="6"/>
      <c r="J96" s="6"/>
      <c r="K96" s="6"/>
    </row>
    <row r="97" spans="2:11" x14ac:dyDescent="0.3">
      <c r="B97" s="3"/>
      <c r="C97" s="7"/>
      <c r="D97" s="7"/>
      <c r="E97" s="6"/>
      <c r="F97" s="5"/>
      <c r="I97" s="6"/>
      <c r="J97" s="6"/>
      <c r="K97" s="6"/>
    </row>
    <row r="98" spans="2:11" x14ac:dyDescent="0.3">
      <c r="B98" s="3"/>
      <c r="C98" s="7"/>
      <c r="D98" s="7"/>
      <c r="E98" s="6"/>
      <c r="F98" s="5"/>
      <c r="I98" s="6"/>
      <c r="J98" s="6"/>
      <c r="K98" s="6"/>
    </row>
    <row r="99" spans="2:11" x14ac:dyDescent="0.3">
      <c r="B99" s="3"/>
      <c r="C99" s="7"/>
      <c r="D99" s="7"/>
      <c r="E99" s="6"/>
      <c r="F99" s="5"/>
      <c r="I99" s="6"/>
      <c r="J99" s="6"/>
      <c r="K99" s="6"/>
    </row>
    <row r="100" spans="2:11" x14ac:dyDescent="0.3">
      <c r="B100" s="3"/>
      <c r="C100" s="7"/>
      <c r="D100" s="7"/>
      <c r="E100" s="6"/>
      <c r="F100" s="5"/>
      <c r="I100" s="6"/>
      <c r="J100" s="6"/>
      <c r="K100" s="6"/>
    </row>
    <row r="101" spans="2:11" x14ac:dyDescent="0.3">
      <c r="B101" s="3"/>
      <c r="C101" s="7"/>
      <c r="D101" s="7"/>
      <c r="E101" s="6"/>
      <c r="F101" s="5"/>
      <c r="I101" s="6"/>
      <c r="J101" s="6"/>
      <c r="K101" s="6"/>
    </row>
    <row r="102" spans="2:11" x14ac:dyDescent="0.3">
      <c r="B102" s="3"/>
      <c r="C102" s="7"/>
      <c r="D102" s="7"/>
      <c r="E102" s="6"/>
      <c r="F102" s="5"/>
      <c r="I102" s="6"/>
      <c r="J102" s="6"/>
      <c r="K102" s="6"/>
    </row>
    <row r="103" spans="2:11" x14ac:dyDescent="0.3">
      <c r="B103" s="3"/>
      <c r="C103" s="7"/>
      <c r="D103" s="7"/>
      <c r="E103" s="6"/>
      <c r="F103" s="5"/>
      <c r="I103" s="6"/>
      <c r="J103" s="6"/>
      <c r="K103" s="6"/>
    </row>
    <row r="104" spans="2:11" x14ac:dyDescent="0.3">
      <c r="B104" s="3"/>
      <c r="C104" s="7"/>
      <c r="D104" s="7"/>
      <c r="E104" s="6"/>
      <c r="F104" s="5"/>
      <c r="I104" s="6"/>
      <c r="J104" s="6"/>
      <c r="K104" s="6"/>
    </row>
    <row r="105" spans="2:11" x14ac:dyDescent="0.3">
      <c r="B105" s="3"/>
      <c r="C105" s="7"/>
      <c r="D105" s="7"/>
      <c r="E105" s="6"/>
      <c r="F105" s="5"/>
      <c r="I105" s="6"/>
      <c r="J105" s="6"/>
      <c r="K105" s="6"/>
    </row>
    <row r="106" spans="2:11" x14ac:dyDescent="0.3">
      <c r="B106" s="3"/>
      <c r="C106" s="7"/>
      <c r="D106" s="7"/>
      <c r="E106" s="6"/>
      <c r="F106" s="5"/>
      <c r="I106" s="6"/>
      <c r="J106" s="6"/>
      <c r="K106" s="6"/>
    </row>
    <row r="107" spans="2:11" x14ac:dyDescent="0.3">
      <c r="B107" s="3"/>
      <c r="C107" s="7"/>
      <c r="D107" s="7"/>
      <c r="E107" s="6"/>
      <c r="F107" s="5"/>
      <c r="I107" s="6"/>
      <c r="J107" s="6"/>
      <c r="K107" s="6"/>
    </row>
    <row r="108" spans="2:11" x14ac:dyDescent="0.3">
      <c r="B108" s="3"/>
      <c r="C108" s="7"/>
      <c r="D108" s="7"/>
      <c r="E108" s="6"/>
      <c r="F108" s="5"/>
      <c r="I108" s="6"/>
      <c r="J108" s="6"/>
      <c r="K108" s="6"/>
    </row>
    <row r="109" spans="2:11" x14ac:dyDescent="0.3">
      <c r="B109" s="3"/>
      <c r="C109" s="7"/>
      <c r="D109" s="7"/>
      <c r="E109" s="6"/>
      <c r="F109" s="5"/>
      <c r="I109" s="6"/>
      <c r="J109" s="6"/>
      <c r="K109" s="6"/>
    </row>
    <row r="110" spans="2:11" x14ac:dyDescent="0.3">
      <c r="B110" s="3"/>
      <c r="C110" s="7"/>
      <c r="D110" s="7"/>
      <c r="E110" s="6"/>
      <c r="F110" s="5"/>
      <c r="I110" s="6"/>
      <c r="J110" s="6"/>
      <c r="K110" s="6"/>
    </row>
    <row r="111" spans="2:11" x14ac:dyDescent="0.3">
      <c r="B111" s="3"/>
      <c r="C111" s="7"/>
      <c r="D111" s="7"/>
      <c r="E111" s="6"/>
      <c r="F111" s="5"/>
      <c r="I111" s="6"/>
      <c r="J111" s="6"/>
      <c r="K111" s="6"/>
    </row>
    <row r="112" spans="2:11" x14ac:dyDescent="0.3">
      <c r="B112" s="3"/>
      <c r="C112" s="7"/>
      <c r="D112" s="7"/>
      <c r="E112" s="6"/>
      <c r="F112" s="5"/>
      <c r="I112" s="6"/>
      <c r="J112" s="6"/>
      <c r="K112" s="6"/>
    </row>
    <row r="113" spans="2:11" x14ac:dyDescent="0.3">
      <c r="B113" s="3"/>
      <c r="C113" s="7"/>
      <c r="D113" s="7"/>
      <c r="E113" s="6"/>
      <c r="F113" s="5"/>
      <c r="I113" s="6"/>
      <c r="J113" s="6"/>
      <c r="K113" s="6"/>
    </row>
    <row r="114" spans="2:11" x14ac:dyDescent="0.3">
      <c r="B114" s="3"/>
      <c r="C114" s="7"/>
      <c r="D114" s="7"/>
      <c r="E114" s="6"/>
      <c r="F114" s="5"/>
      <c r="I114" s="6"/>
      <c r="J114" s="6"/>
      <c r="K114" s="6"/>
    </row>
    <row r="115" spans="2:11" x14ac:dyDescent="0.3">
      <c r="B115" s="3"/>
      <c r="C115" s="7"/>
      <c r="D115" s="7"/>
      <c r="E115" s="6"/>
      <c r="F115" s="5"/>
      <c r="I115" s="6"/>
      <c r="J115" s="6"/>
      <c r="K115" s="6"/>
    </row>
    <row r="116" spans="2:11" x14ac:dyDescent="0.3">
      <c r="B116" s="3"/>
      <c r="C116" s="7"/>
      <c r="D116" s="7"/>
      <c r="E116" s="6"/>
      <c r="F116" s="5"/>
      <c r="I116" s="6"/>
      <c r="J116" s="6"/>
      <c r="K116" s="6"/>
    </row>
    <row r="117" spans="2:11" x14ac:dyDescent="0.3">
      <c r="B117" s="3"/>
      <c r="C117" s="7"/>
      <c r="D117" s="7"/>
      <c r="E117" s="6"/>
      <c r="F117" s="5"/>
      <c r="I117" s="6"/>
      <c r="J117" s="6"/>
      <c r="K117" s="6"/>
    </row>
    <row r="118" spans="2:11" x14ac:dyDescent="0.3">
      <c r="B118" s="3"/>
      <c r="C118" s="7"/>
      <c r="D118" s="7"/>
      <c r="E118" s="6"/>
      <c r="F118" s="5"/>
      <c r="I118" s="6"/>
      <c r="J118" s="6"/>
      <c r="K118" s="6"/>
    </row>
    <row r="119" spans="2:11" x14ac:dyDescent="0.3">
      <c r="B119" s="3"/>
      <c r="C119" s="7"/>
      <c r="D119" s="7"/>
      <c r="E119" s="6"/>
      <c r="F119" s="5"/>
      <c r="I119" s="6"/>
      <c r="J119" s="6"/>
      <c r="K119" s="6"/>
    </row>
    <row r="120" spans="2:11" x14ac:dyDescent="0.3">
      <c r="B120" s="3"/>
      <c r="C120" s="7"/>
      <c r="D120" s="7"/>
      <c r="E120" s="6"/>
      <c r="F120" s="5"/>
      <c r="I120" s="6"/>
      <c r="J120" s="6"/>
      <c r="K120" s="6"/>
    </row>
    <row r="121" spans="2:11" x14ac:dyDescent="0.3">
      <c r="B121" s="3"/>
      <c r="C121" s="7"/>
      <c r="D121" s="7"/>
      <c r="E121" s="6"/>
      <c r="F121" s="5"/>
      <c r="I121" s="6"/>
      <c r="J121" s="6"/>
      <c r="K121" s="6"/>
    </row>
    <row r="122" spans="2:11" x14ac:dyDescent="0.3">
      <c r="B122" s="3"/>
      <c r="C122" s="7"/>
      <c r="D122" s="7"/>
      <c r="E122" s="6"/>
      <c r="F122" s="5"/>
      <c r="I122" s="6"/>
      <c r="J122" s="6"/>
      <c r="K122" s="6"/>
    </row>
    <row r="123" spans="2:11" x14ac:dyDescent="0.3">
      <c r="B123" s="3"/>
      <c r="C123" s="7"/>
      <c r="D123" s="7"/>
      <c r="E123" s="6"/>
      <c r="F123" s="5"/>
      <c r="I123" s="6"/>
      <c r="J123" s="6"/>
      <c r="K123" s="6"/>
    </row>
    <row r="124" spans="2:11" x14ac:dyDescent="0.3">
      <c r="B124" s="3"/>
      <c r="C124" s="7"/>
      <c r="D124" s="7"/>
      <c r="E124" s="6"/>
      <c r="F124" s="5"/>
      <c r="I124" s="6"/>
      <c r="J124" s="6"/>
      <c r="K124" s="6"/>
    </row>
    <row r="125" spans="2:11" x14ac:dyDescent="0.3">
      <c r="B125" s="3"/>
      <c r="C125" s="7"/>
      <c r="D125" s="7"/>
      <c r="E125" s="6"/>
      <c r="F125" s="5"/>
      <c r="I125" s="6"/>
      <c r="J125" s="6"/>
      <c r="K125" s="6"/>
    </row>
    <row r="126" spans="2:11" x14ac:dyDescent="0.3">
      <c r="B126" s="3"/>
      <c r="C126" s="7"/>
      <c r="D126" s="7"/>
      <c r="E126" s="6"/>
      <c r="F126" s="5"/>
      <c r="I126" s="6"/>
      <c r="J126" s="6"/>
      <c r="K126" s="6"/>
    </row>
    <row r="127" spans="2:11" x14ac:dyDescent="0.3">
      <c r="B127" s="3"/>
      <c r="C127" s="7"/>
      <c r="D127" s="7"/>
      <c r="E127" s="6"/>
      <c r="F127" s="5"/>
      <c r="I127" s="6"/>
      <c r="J127" s="6"/>
      <c r="K127" s="6"/>
    </row>
    <row r="128" spans="2:11" x14ac:dyDescent="0.3">
      <c r="B128" s="3"/>
      <c r="C128" s="7"/>
      <c r="D128" s="7"/>
      <c r="E128" s="6"/>
      <c r="F128" s="5"/>
      <c r="I128" s="6"/>
      <c r="J128" s="6"/>
      <c r="K128" s="6"/>
    </row>
    <row r="129" spans="2:11" x14ac:dyDescent="0.3">
      <c r="B129" s="3"/>
      <c r="C129" s="7"/>
      <c r="D129" s="7"/>
      <c r="E129" s="6"/>
      <c r="F129" s="5"/>
      <c r="I129" s="6"/>
      <c r="J129" s="6"/>
      <c r="K129" s="6"/>
    </row>
    <row r="130" spans="2:11" x14ac:dyDescent="0.3">
      <c r="B130" s="3"/>
      <c r="C130" s="7"/>
      <c r="D130" s="7"/>
      <c r="E130" s="6"/>
      <c r="F130" s="5"/>
      <c r="I130" s="6"/>
      <c r="J130" s="6"/>
      <c r="K130" s="6"/>
    </row>
    <row r="131" spans="2:11" x14ac:dyDescent="0.3">
      <c r="B131" s="3"/>
      <c r="C131" s="7"/>
      <c r="D131" s="7"/>
      <c r="E131" s="6"/>
      <c r="F131" s="5"/>
      <c r="I131" s="6"/>
      <c r="J131" s="6"/>
      <c r="K131" s="6"/>
    </row>
    <row r="132" spans="2:11" x14ac:dyDescent="0.3">
      <c r="B132" s="3"/>
      <c r="C132" s="7"/>
      <c r="D132" s="7"/>
      <c r="E132" s="6"/>
      <c r="F132" s="5"/>
      <c r="I132" s="6"/>
      <c r="J132" s="6"/>
      <c r="K132" s="6"/>
    </row>
    <row r="133" spans="2:11" x14ac:dyDescent="0.3">
      <c r="B133" s="3"/>
      <c r="C133" s="7"/>
      <c r="D133" s="7"/>
      <c r="E133" s="6"/>
      <c r="F133" s="5"/>
      <c r="I133" s="6"/>
      <c r="J133" s="6"/>
      <c r="K133" s="6"/>
    </row>
    <row r="134" spans="2:11" x14ac:dyDescent="0.3">
      <c r="B134" s="3"/>
      <c r="C134" s="7"/>
      <c r="D134" s="7"/>
      <c r="E134" s="6"/>
      <c r="F134" s="5"/>
      <c r="I134" s="6"/>
      <c r="J134" s="6"/>
      <c r="K134" s="6"/>
    </row>
    <row r="135" spans="2:11" x14ac:dyDescent="0.3">
      <c r="B135" s="3"/>
      <c r="C135" s="7"/>
      <c r="D135" s="7"/>
      <c r="E135" s="6"/>
      <c r="F135" s="5"/>
      <c r="I135" s="6"/>
      <c r="J135" s="6"/>
      <c r="K135" s="6"/>
    </row>
    <row r="136" spans="2:11" x14ac:dyDescent="0.3">
      <c r="B136" s="3"/>
      <c r="C136" s="7"/>
      <c r="D136" s="7"/>
      <c r="E136" s="6"/>
      <c r="F136" s="5"/>
      <c r="I136" s="6"/>
      <c r="J136" s="6"/>
      <c r="K136" s="6"/>
    </row>
    <row r="137" spans="2:11" x14ac:dyDescent="0.3">
      <c r="B137" s="3"/>
      <c r="C137" s="7"/>
      <c r="D137" s="7"/>
      <c r="E137" s="6"/>
      <c r="F137" s="5"/>
      <c r="I137" s="6"/>
      <c r="J137" s="6"/>
      <c r="K137" s="6"/>
    </row>
    <row r="138" spans="2:11" x14ac:dyDescent="0.3">
      <c r="B138" s="3"/>
      <c r="C138" s="7"/>
      <c r="D138" s="7"/>
      <c r="E138" s="6"/>
      <c r="F138" s="5"/>
      <c r="I138" s="6"/>
      <c r="J138" s="6"/>
      <c r="K138" s="6"/>
    </row>
    <row r="139" spans="2:11" x14ac:dyDescent="0.3">
      <c r="B139" s="3"/>
      <c r="C139" s="7"/>
      <c r="D139" s="7"/>
      <c r="E139" s="6"/>
      <c r="F139" s="5"/>
      <c r="I139" s="6"/>
      <c r="J139" s="6"/>
      <c r="K139" s="6"/>
    </row>
    <row r="140" spans="2:11" x14ac:dyDescent="0.3">
      <c r="B140" s="3"/>
      <c r="C140" s="7"/>
      <c r="D140" s="7"/>
      <c r="E140" s="6"/>
      <c r="F140" s="5"/>
      <c r="I140" s="6"/>
      <c r="J140" s="6"/>
      <c r="K140" s="6"/>
    </row>
    <row r="141" spans="2:11" x14ac:dyDescent="0.3">
      <c r="B141" s="3"/>
      <c r="C141" s="7"/>
      <c r="D141" s="7"/>
      <c r="E141" s="6"/>
      <c r="F141" s="5"/>
      <c r="I141" s="6"/>
      <c r="J141" s="6"/>
      <c r="K141" s="6"/>
    </row>
    <row r="142" spans="2:11" x14ac:dyDescent="0.3">
      <c r="B142" s="3"/>
      <c r="C142" s="7"/>
      <c r="D142" s="7"/>
      <c r="E142" s="6"/>
      <c r="F142" s="5"/>
      <c r="I142" s="6"/>
      <c r="J142" s="6"/>
      <c r="K142" s="6"/>
    </row>
    <row r="143" spans="2:11" x14ac:dyDescent="0.3">
      <c r="B143" s="3"/>
      <c r="C143" s="7"/>
      <c r="D143" s="7"/>
      <c r="E143" s="6"/>
      <c r="F143" s="5"/>
      <c r="I143" s="6"/>
      <c r="J143" s="6"/>
      <c r="K143" s="6"/>
    </row>
    <row r="144" spans="2:11" x14ac:dyDescent="0.3">
      <c r="B144" s="3"/>
      <c r="C144" s="7"/>
      <c r="D144" s="7"/>
      <c r="E144" s="6"/>
      <c r="F144" s="5"/>
      <c r="I144" s="6"/>
      <c r="J144" s="6"/>
      <c r="K144" s="6"/>
    </row>
    <row r="145" spans="2:11" x14ac:dyDescent="0.3">
      <c r="B145" s="3"/>
      <c r="C145" s="7"/>
      <c r="D145" s="7"/>
      <c r="E145" s="6"/>
      <c r="F145" s="5"/>
      <c r="I145" s="6"/>
      <c r="J145" s="6"/>
      <c r="K145" s="6"/>
    </row>
    <row r="146" spans="2:11" x14ac:dyDescent="0.3">
      <c r="B146" s="3"/>
      <c r="C146" s="7"/>
      <c r="D146" s="7"/>
      <c r="E146" s="6"/>
      <c r="F146" s="5"/>
      <c r="I146" s="6"/>
      <c r="J146" s="6"/>
      <c r="K146" s="6"/>
    </row>
    <row r="147" spans="2:11" x14ac:dyDescent="0.3">
      <c r="B147" s="3"/>
      <c r="C147" s="7"/>
      <c r="D147" s="7"/>
      <c r="E147" s="6"/>
      <c r="F147" s="5"/>
      <c r="I147" s="6"/>
      <c r="J147" s="6"/>
      <c r="K147" s="6"/>
    </row>
    <row r="148" spans="2:11" x14ac:dyDescent="0.3">
      <c r="B148" s="3"/>
      <c r="C148" s="7"/>
      <c r="D148" s="7"/>
      <c r="E148" s="6"/>
      <c r="F148" s="5"/>
      <c r="I148" s="6"/>
      <c r="J148" s="6"/>
      <c r="K148" s="6"/>
    </row>
    <row r="149" spans="2:11" x14ac:dyDescent="0.3">
      <c r="B149" s="3"/>
      <c r="C149" s="7"/>
      <c r="D149" s="7"/>
      <c r="E149" s="6"/>
      <c r="F149" s="5"/>
      <c r="I149" s="6"/>
      <c r="J149" s="6"/>
      <c r="K149" s="6"/>
    </row>
    <row r="150" spans="2:11" x14ac:dyDescent="0.3">
      <c r="B150" s="3"/>
      <c r="C150" s="7"/>
      <c r="D150" s="7"/>
      <c r="E150" s="6"/>
      <c r="F150" s="5"/>
      <c r="I150" s="6"/>
      <c r="J150" s="6"/>
      <c r="K150" s="6"/>
    </row>
    <row r="151" spans="2:11" x14ac:dyDescent="0.3">
      <c r="B151" s="3"/>
      <c r="C151" s="7"/>
      <c r="D151" s="7"/>
      <c r="E151" s="6"/>
      <c r="F151" s="5"/>
      <c r="I151" s="6"/>
      <c r="J151" s="6"/>
      <c r="K151" s="6"/>
    </row>
    <row r="152" spans="2:11" x14ac:dyDescent="0.3">
      <c r="B152" s="3"/>
      <c r="C152" s="7"/>
      <c r="D152" s="7"/>
      <c r="E152" s="6"/>
      <c r="F152" s="5"/>
      <c r="I152" s="6"/>
      <c r="J152" s="6"/>
      <c r="K152" s="6"/>
    </row>
    <row r="153" spans="2:11" x14ac:dyDescent="0.3">
      <c r="B153" s="3"/>
      <c r="C153" s="7"/>
      <c r="D153" s="7"/>
      <c r="E153" s="6"/>
      <c r="F153" s="5"/>
      <c r="I153" s="6"/>
      <c r="J153" s="6"/>
      <c r="K153" s="6"/>
    </row>
    <row r="154" spans="2:11" x14ac:dyDescent="0.3">
      <c r="B154" s="3"/>
      <c r="C154" s="7"/>
      <c r="D154" s="7"/>
      <c r="E154" s="6"/>
      <c r="F154" s="5"/>
      <c r="I154" s="6"/>
      <c r="J154" s="6"/>
      <c r="K154" s="6"/>
    </row>
    <row r="155" spans="2:11" x14ac:dyDescent="0.3">
      <c r="B155" s="3"/>
      <c r="C155" s="7"/>
      <c r="D155" s="7"/>
      <c r="E155" s="6"/>
      <c r="F155" s="5"/>
      <c r="I155" s="6"/>
      <c r="J155" s="6"/>
      <c r="K155" s="6"/>
    </row>
    <row r="156" spans="2:11" x14ac:dyDescent="0.3">
      <c r="B156" s="3"/>
      <c r="C156" s="7"/>
      <c r="D156" s="7"/>
      <c r="E156" s="6"/>
      <c r="F156" s="5"/>
      <c r="I156" s="6"/>
      <c r="J156" s="6"/>
      <c r="K156" s="6"/>
    </row>
    <row r="157" spans="2:11" x14ac:dyDescent="0.3">
      <c r="B157" s="3"/>
      <c r="C157" s="7"/>
      <c r="D157" s="7"/>
      <c r="E157" s="6"/>
      <c r="F157" s="5"/>
      <c r="I157" s="6"/>
      <c r="J157" s="6"/>
      <c r="K157" s="6"/>
    </row>
    <row r="158" spans="2:11" x14ac:dyDescent="0.3">
      <c r="B158" s="3"/>
      <c r="C158" s="7"/>
      <c r="D158" s="7"/>
      <c r="E158" s="6"/>
      <c r="F158" s="5"/>
      <c r="I158" s="6"/>
      <c r="J158" s="6"/>
      <c r="K158" s="6"/>
    </row>
    <row r="159" spans="2:11" x14ac:dyDescent="0.3">
      <c r="B159" s="3"/>
      <c r="C159" s="7"/>
      <c r="D159" s="7"/>
      <c r="E159" s="6"/>
      <c r="F159" s="5"/>
      <c r="I159" s="6"/>
      <c r="J159" s="6"/>
      <c r="K159" s="6"/>
    </row>
    <row r="160" spans="2:11" x14ac:dyDescent="0.3">
      <c r="B160" s="3"/>
      <c r="C160" s="7"/>
      <c r="D160" s="7"/>
      <c r="E160" s="6"/>
      <c r="F160" s="5"/>
      <c r="I160" s="6"/>
      <c r="J160" s="6"/>
      <c r="K160" s="6"/>
    </row>
    <row r="161" spans="2:11" x14ac:dyDescent="0.3">
      <c r="B161" s="3"/>
      <c r="C161" s="7"/>
      <c r="D161" s="7"/>
      <c r="E161" s="6"/>
      <c r="F161" s="5"/>
      <c r="I161" s="6"/>
      <c r="J161" s="6"/>
      <c r="K161" s="6"/>
    </row>
    <row r="162" spans="2:11" x14ac:dyDescent="0.3">
      <c r="B162" s="3"/>
      <c r="C162" s="7"/>
      <c r="D162" s="7"/>
      <c r="E162" s="6"/>
      <c r="F162" s="5"/>
      <c r="I162" s="6"/>
      <c r="J162" s="6"/>
      <c r="K162" s="6"/>
    </row>
    <row r="163" spans="2:11" x14ac:dyDescent="0.3">
      <c r="B163" s="3"/>
      <c r="C163" s="7"/>
      <c r="D163" s="7"/>
      <c r="E163" s="6"/>
      <c r="F163" s="5"/>
      <c r="I163" s="6"/>
      <c r="J163" s="6"/>
      <c r="K163" s="6"/>
    </row>
    <row r="164" spans="2:11" x14ac:dyDescent="0.3">
      <c r="B164" s="3"/>
      <c r="C164" s="7"/>
      <c r="D164" s="7"/>
      <c r="E164" s="6"/>
      <c r="F164" s="5"/>
      <c r="I164" s="6"/>
      <c r="J164" s="6"/>
      <c r="K164" s="6"/>
    </row>
    <row r="165" spans="2:11" x14ac:dyDescent="0.3">
      <c r="B165" s="3"/>
      <c r="C165" s="7"/>
      <c r="D165" s="7"/>
      <c r="E165" s="6"/>
      <c r="F165" s="5"/>
      <c r="I165" s="6"/>
      <c r="J165" s="6"/>
      <c r="K165" s="6"/>
    </row>
    <row r="166" spans="2:11" x14ac:dyDescent="0.3">
      <c r="B166" s="3"/>
      <c r="C166" s="7"/>
      <c r="D166" s="7"/>
      <c r="E166" s="6"/>
      <c r="F166" s="5"/>
      <c r="I166" s="6"/>
      <c r="J166" s="6"/>
      <c r="K166" s="6"/>
    </row>
    <row r="167" spans="2:11" x14ac:dyDescent="0.3">
      <c r="B167" s="3"/>
      <c r="C167" s="7"/>
      <c r="D167" s="7"/>
      <c r="E167" s="6"/>
      <c r="F167" s="5"/>
      <c r="I167" s="6"/>
      <c r="J167" s="6"/>
      <c r="K167" s="6"/>
    </row>
    <row r="168" spans="2:11" x14ac:dyDescent="0.3">
      <c r="B168" s="3"/>
      <c r="C168" s="7"/>
      <c r="D168" s="7"/>
      <c r="E168" s="6"/>
      <c r="F168" s="5"/>
      <c r="I168" s="6"/>
      <c r="J168" s="6"/>
      <c r="K168" s="6"/>
    </row>
    <row r="169" spans="2:11" x14ac:dyDescent="0.3">
      <c r="B169" s="3"/>
      <c r="C169" s="7"/>
      <c r="D169" s="7"/>
      <c r="E169" s="6"/>
      <c r="F169" s="5"/>
      <c r="I169" s="6"/>
      <c r="J169" s="6"/>
      <c r="K169" s="6"/>
    </row>
    <row r="170" spans="2:11" x14ac:dyDescent="0.3">
      <c r="B170" s="3"/>
      <c r="C170" s="7"/>
      <c r="D170" s="7"/>
      <c r="E170" s="6"/>
      <c r="F170" s="5"/>
      <c r="I170" s="6"/>
      <c r="J170" s="6"/>
      <c r="K170" s="6"/>
    </row>
    <row r="171" spans="2:11" x14ac:dyDescent="0.3">
      <c r="B171" s="3"/>
      <c r="C171" s="7"/>
      <c r="D171" s="7"/>
      <c r="E171" s="6"/>
      <c r="F171" s="5"/>
      <c r="I171" s="6"/>
      <c r="J171" s="6"/>
      <c r="K171" s="6"/>
    </row>
    <row r="172" spans="2:11" x14ac:dyDescent="0.3">
      <c r="B172" s="3"/>
      <c r="C172" s="7"/>
      <c r="D172" s="7"/>
      <c r="E172" s="6"/>
      <c r="F172" s="5"/>
      <c r="I172" s="6"/>
      <c r="J172" s="6"/>
      <c r="K172" s="6"/>
    </row>
    <row r="173" spans="2:11" x14ac:dyDescent="0.3">
      <c r="B173" s="3"/>
      <c r="C173" s="7"/>
      <c r="D173" s="7"/>
      <c r="E173" s="6"/>
      <c r="F173" s="5"/>
      <c r="I173" s="6"/>
      <c r="J173" s="6"/>
      <c r="K173" s="6"/>
    </row>
    <row r="174" spans="2:11" x14ac:dyDescent="0.3">
      <c r="B174" s="3"/>
      <c r="C174" s="7"/>
      <c r="D174" s="7"/>
      <c r="E174" s="6"/>
      <c r="F174" s="5"/>
      <c r="I174" s="6"/>
      <c r="J174" s="6"/>
      <c r="K174" s="6"/>
    </row>
    <row r="175" spans="2:11" x14ac:dyDescent="0.3">
      <c r="B175" s="3"/>
      <c r="C175" s="7"/>
      <c r="D175" s="7"/>
      <c r="E175" s="6"/>
      <c r="F175" s="5"/>
      <c r="I175" s="6"/>
      <c r="J175" s="6"/>
      <c r="K175" s="6"/>
    </row>
    <row r="176" spans="2:11" x14ac:dyDescent="0.3">
      <c r="B176" s="3"/>
      <c r="C176" s="7"/>
      <c r="D176" s="7"/>
      <c r="E176" s="6"/>
      <c r="F176" s="5"/>
      <c r="I176" s="6"/>
      <c r="J176" s="6"/>
      <c r="K176" s="6"/>
    </row>
    <row r="177" spans="2:11" x14ac:dyDescent="0.3">
      <c r="B177" s="3"/>
      <c r="C177" s="7"/>
      <c r="D177" s="7"/>
      <c r="E177" s="6"/>
      <c r="F177" s="5"/>
      <c r="I177" s="6"/>
      <c r="J177" s="6"/>
      <c r="K177" s="6"/>
    </row>
    <row r="178" spans="2:11" x14ac:dyDescent="0.3">
      <c r="B178" s="3"/>
      <c r="C178" s="7"/>
      <c r="D178" s="7"/>
      <c r="E178" s="6"/>
      <c r="F178" s="5"/>
      <c r="I178" s="6"/>
      <c r="J178" s="6"/>
      <c r="K178" s="6"/>
    </row>
    <row r="179" spans="2:11" x14ac:dyDescent="0.3">
      <c r="B179" s="3"/>
      <c r="C179" s="7"/>
      <c r="D179" s="7"/>
      <c r="E179" s="6"/>
      <c r="F179" s="5"/>
      <c r="I179" s="6"/>
      <c r="J179" s="6"/>
      <c r="K179" s="6"/>
    </row>
    <row r="180" spans="2:11" x14ac:dyDescent="0.3">
      <c r="B180" s="3"/>
      <c r="C180" s="7"/>
      <c r="D180" s="7"/>
      <c r="E180" s="6"/>
      <c r="F180" s="5"/>
      <c r="I180" s="6"/>
      <c r="J180" s="6"/>
      <c r="K180" s="6"/>
    </row>
    <row r="181" spans="2:11" x14ac:dyDescent="0.3">
      <c r="B181" s="3"/>
      <c r="C181" s="7"/>
      <c r="D181" s="7"/>
      <c r="E181" s="6"/>
      <c r="F181" s="5"/>
      <c r="I181" s="6"/>
      <c r="J181" s="6"/>
      <c r="K181" s="6"/>
    </row>
    <row r="182" spans="2:11" x14ac:dyDescent="0.3">
      <c r="B182" s="3"/>
      <c r="C182" s="7"/>
      <c r="D182" s="7"/>
      <c r="E182" s="6"/>
      <c r="F182" s="5"/>
      <c r="I182" s="6"/>
      <c r="J182" s="6"/>
      <c r="K182" s="6"/>
    </row>
    <row r="183" spans="2:11" x14ac:dyDescent="0.3">
      <c r="B183" s="3"/>
      <c r="C183" s="7"/>
      <c r="D183" s="7"/>
      <c r="E183" s="6"/>
      <c r="F183" s="5"/>
      <c r="I183" s="6"/>
      <c r="J183" s="6"/>
      <c r="K183" s="6"/>
    </row>
    <row r="184" spans="2:11" x14ac:dyDescent="0.3">
      <c r="B184" s="3"/>
      <c r="C184" s="7"/>
      <c r="D184" s="7"/>
      <c r="E184" s="6"/>
      <c r="F184" s="5"/>
      <c r="I184" s="6"/>
      <c r="J184" s="6"/>
      <c r="K184" s="6"/>
    </row>
    <row r="185" spans="2:11" x14ac:dyDescent="0.3">
      <c r="B185" s="3"/>
      <c r="C185" s="7"/>
      <c r="D185" s="7"/>
      <c r="E185" s="6"/>
      <c r="F185" s="5"/>
      <c r="I185" s="6"/>
      <c r="J185" s="6"/>
      <c r="K185" s="6"/>
    </row>
    <row r="186" spans="2:11" x14ac:dyDescent="0.3">
      <c r="B186" s="3"/>
      <c r="C186" s="7"/>
      <c r="D186" s="7"/>
      <c r="E186" s="6"/>
      <c r="F186" s="5"/>
      <c r="I186" s="6"/>
      <c r="J186" s="6"/>
      <c r="K186" s="6"/>
    </row>
    <row r="187" spans="2:11" x14ac:dyDescent="0.3">
      <c r="B187" s="3"/>
      <c r="C187" s="7"/>
      <c r="D187" s="7"/>
      <c r="E187" s="6"/>
      <c r="F187" s="5"/>
      <c r="I187" s="6"/>
      <c r="J187" s="6"/>
      <c r="K187" s="6"/>
    </row>
    <row r="188" spans="2:11" x14ac:dyDescent="0.3">
      <c r="B188" s="3"/>
      <c r="C188" s="7"/>
      <c r="D188" s="7"/>
      <c r="E188" s="6"/>
      <c r="F188" s="5"/>
      <c r="I188" s="6"/>
      <c r="J188" s="6"/>
      <c r="K188" s="6"/>
    </row>
    <row r="189" spans="2:11" x14ac:dyDescent="0.3">
      <c r="B189" s="3"/>
      <c r="C189" s="7"/>
      <c r="D189" s="7"/>
      <c r="E189" s="6"/>
      <c r="F189" s="5"/>
      <c r="I189" s="6"/>
      <c r="J189" s="6"/>
      <c r="K189" s="6"/>
    </row>
    <row r="190" spans="2:11" x14ac:dyDescent="0.3">
      <c r="B190" s="3"/>
      <c r="C190" s="7"/>
      <c r="D190" s="7"/>
      <c r="E190" s="6"/>
      <c r="F190" s="5"/>
      <c r="I190" s="6"/>
      <c r="J190" s="6"/>
      <c r="K190" s="6"/>
    </row>
    <row r="191" spans="2:11" x14ac:dyDescent="0.3">
      <c r="B191" s="3"/>
      <c r="C191" s="7"/>
      <c r="D191" s="7"/>
      <c r="E191" s="6"/>
      <c r="F191" s="5"/>
      <c r="I191" s="6"/>
      <c r="J191" s="6"/>
      <c r="K191" s="6"/>
    </row>
    <row r="192" spans="2:11" x14ac:dyDescent="0.3">
      <c r="B192" s="3"/>
      <c r="C192" s="7"/>
      <c r="D192" s="7"/>
      <c r="E192" s="6"/>
      <c r="F192" s="5"/>
      <c r="I192" s="6"/>
      <c r="J192" s="6"/>
      <c r="K192" s="6"/>
    </row>
    <row r="193" spans="2:11" x14ac:dyDescent="0.3">
      <c r="B193" s="3"/>
      <c r="C193" s="7"/>
      <c r="D193" s="7"/>
      <c r="E193" s="6"/>
      <c r="F193" s="5"/>
      <c r="I193" s="6"/>
      <c r="J193" s="6"/>
      <c r="K193" s="6"/>
    </row>
    <row r="194" spans="2:11" x14ac:dyDescent="0.3">
      <c r="B194" s="3"/>
      <c r="C194" s="7"/>
      <c r="D194" s="7"/>
      <c r="E194" s="6"/>
      <c r="F194" s="5"/>
      <c r="I194" s="6"/>
      <c r="J194" s="6"/>
      <c r="K194" s="6"/>
    </row>
    <row r="195" spans="2:11" x14ac:dyDescent="0.3">
      <c r="B195" s="3"/>
      <c r="C195" s="7"/>
      <c r="D195" s="7"/>
      <c r="E195" s="6"/>
      <c r="F195" s="5"/>
      <c r="I195" s="6"/>
      <c r="J195" s="6"/>
      <c r="K195" s="6"/>
    </row>
    <row r="196" spans="2:11" x14ac:dyDescent="0.3">
      <c r="B196" s="3"/>
      <c r="C196" s="7"/>
      <c r="D196" s="7"/>
      <c r="E196" s="6"/>
      <c r="F196" s="5"/>
      <c r="I196" s="6"/>
      <c r="J196" s="6"/>
      <c r="K196" s="6"/>
    </row>
    <row r="197" spans="2:11" x14ac:dyDescent="0.3">
      <c r="B197" s="3"/>
      <c r="C197" s="7"/>
      <c r="D197" s="7"/>
      <c r="E197" s="6"/>
      <c r="F197" s="5"/>
      <c r="I197" s="6"/>
      <c r="J197" s="6"/>
      <c r="K197" s="6"/>
    </row>
    <row r="198" spans="2:11" x14ac:dyDescent="0.3">
      <c r="B198" s="3"/>
      <c r="C198" s="7"/>
      <c r="D198" s="7"/>
      <c r="E198" s="6"/>
      <c r="F198" s="5"/>
      <c r="I198" s="6"/>
      <c r="J198" s="6"/>
      <c r="K198" s="6"/>
    </row>
    <row r="199" spans="2:11" x14ac:dyDescent="0.3">
      <c r="B199" s="3"/>
      <c r="C199" s="7"/>
      <c r="D199" s="7"/>
      <c r="E199" s="6"/>
      <c r="F199" s="5"/>
      <c r="I199" s="6"/>
      <c r="J199" s="6"/>
      <c r="K199" s="6"/>
    </row>
    <row r="200" spans="2:11" x14ac:dyDescent="0.3">
      <c r="B200" s="3"/>
      <c r="C200" s="7"/>
      <c r="D200" s="7"/>
      <c r="E200" s="6"/>
      <c r="F200" s="5"/>
      <c r="I200" s="6"/>
      <c r="J200" s="6"/>
      <c r="K200" s="6"/>
    </row>
    <row r="201" spans="2:11" x14ac:dyDescent="0.3">
      <c r="B201" s="3"/>
      <c r="C201" s="7"/>
      <c r="D201" s="7"/>
      <c r="E201" s="6"/>
      <c r="F201" s="5"/>
      <c r="I201" s="6"/>
      <c r="J201" s="6"/>
      <c r="K201" s="6"/>
    </row>
    <row r="202" spans="2:11" x14ac:dyDescent="0.3">
      <c r="B202" s="3"/>
      <c r="C202" s="7"/>
      <c r="D202" s="7"/>
      <c r="E202" s="6"/>
      <c r="F202" s="5"/>
      <c r="I202" s="6"/>
      <c r="J202" s="6"/>
      <c r="K202" s="6"/>
    </row>
    <row r="203" spans="2:11" x14ac:dyDescent="0.3">
      <c r="B203" s="3"/>
      <c r="C203" s="7"/>
      <c r="D203" s="7"/>
      <c r="E203" s="6"/>
      <c r="F203" s="5"/>
      <c r="I203" s="6"/>
      <c r="J203" s="6"/>
      <c r="K203" s="6"/>
    </row>
    <row r="204" spans="2:11" x14ac:dyDescent="0.3">
      <c r="B204" s="3"/>
      <c r="C204" s="7"/>
      <c r="D204" s="7"/>
      <c r="E204" s="6"/>
      <c r="F204" s="5"/>
      <c r="I204" s="6"/>
      <c r="J204" s="6"/>
      <c r="K204" s="6"/>
    </row>
    <row r="205" spans="2:11" x14ac:dyDescent="0.3">
      <c r="B205" s="3"/>
      <c r="C205" s="7"/>
      <c r="D205" s="7"/>
      <c r="E205" s="6"/>
      <c r="F205" s="5"/>
      <c r="I205" s="6"/>
      <c r="J205" s="6"/>
      <c r="K205" s="6"/>
    </row>
    <row r="206" spans="2:11" x14ac:dyDescent="0.3">
      <c r="B206" s="3"/>
      <c r="C206" s="7"/>
      <c r="D206" s="7"/>
      <c r="E206" s="6"/>
      <c r="F206" s="5"/>
      <c r="I206" s="6"/>
      <c r="J206" s="6"/>
      <c r="K206" s="6"/>
    </row>
    <row r="207" spans="2:11" x14ac:dyDescent="0.3">
      <c r="B207" s="3"/>
      <c r="C207" s="7"/>
      <c r="D207" s="7"/>
      <c r="E207" s="6"/>
      <c r="F207" s="5"/>
      <c r="I207" s="6"/>
      <c r="J207" s="6"/>
      <c r="K207" s="6"/>
    </row>
    <row r="208" spans="2:11" x14ac:dyDescent="0.3">
      <c r="B208" s="3"/>
      <c r="C208" s="7"/>
      <c r="D208" s="7"/>
      <c r="E208" s="6"/>
      <c r="F208" s="5"/>
      <c r="I208" s="6"/>
      <c r="J208" s="6"/>
      <c r="K208" s="6"/>
    </row>
    <row r="209" spans="2:11" x14ac:dyDescent="0.3">
      <c r="B209" s="3"/>
      <c r="C209" s="7"/>
      <c r="D209" s="7"/>
      <c r="E209" s="6"/>
      <c r="F209" s="5"/>
      <c r="I209" s="6"/>
      <c r="J209" s="6"/>
      <c r="K209" s="6"/>
    </row>
    <row r="210" spans="2:11" x14ac:dyDescent="0.3">
      <c r="B210" s="3"/>
      <c r="C210" s="7"/>
      <c r="D210" s="7"/>
      <c r="E210" s="6"/>
      <c r="F210" s="5"/>
      <c r="I210" s="6"/>
      <c r="J210" s="6"/>
      <c r="K210" s="6"/>
    </row>
    <row r="211" spans="2:11" x14ac:dyDescent="0.3">
      <c r="B211" s="3"/>
      <c r="C211" s="7"/>
      <c r="D211" s="7"/>
      <c r="E211" s="6"/>
      <c r="F211" s="5"/>
      <c r="I211" s="6"/>
      <c r="J211" s="6"/>
      <c r="K211" s="6"/>
    </row>
    <row r="212" spans="2:11" x14ac:dyDescent="0.3">
      <c r="B212" s="3"/>
      <c r="C212" s="7"/>
      <c r="D212" s="7"/>
      <c r="E212" s="6"/>
      <c r="F212" s="5"/>
      <c r="I212" s="6"/>
      <c r="J212" s="6"/>
      <c r="K212" s="6"/>
    </row>
    <row r="213" spans="2:11" x14ac:dyDescent="0.3">
      <c r="B213" s="3"/>
      <c r="C213" s="7"/>
      <c r="D213" s="7"/>
      <c r="E213" s="6"/>
      <c r="F213" s="5"/>
      <c r="I213" s="6"/>
      <c r="J213" s="6"/>
      <c r="K213" s="6"/>
    </row>
    <row r="214" spans="2:11" x14ac:dyDescent="0.3">
      <c r="B214" s="3"/>
      <c r="C214" s="7"/>
      <c r="D214" s="7"/>
      <c r="E214" s="6"/>
      <c r="F214" s="5"/>
      <c r="I214" s="6"/>
      <c r="J214" s="6"/>
      <c r="K214" s="6"/>
    </row>
    <row r="215" spans="2:11" x14ac:dyDescent="0.3">
      <c r="B215" s="3"/>
      <c r="C215" s="7"/>
      <c r="D215" s="7"/>
      <c r="E215" s="6"/>
      <c r="F215" s="5"/>
      <c r="I215" s="6"/>
      <c r="J215" s="6"/>
      <c r="K215" s="6"/>
    </row>
    <row r="216" spans="2:11" x14ac:dyDescent="0.3">
      <c r="B216" s="3"/>
      <c r="C216" s="7"/>
      <c r="D216" s="7"/>
      <c r="E216" s="6"/>
      <c r="F216" s="5"/>
      <c r="I216" s="6"/>
      <c r="J216" s="6"/>
      <c r="K216" s="6"/>
    </row>
    <row r="217" spans="2:11" x14ac:dyDescent="0.3">
      <c r="B217" s="3"/>
      <c r="C217" s="7"/>
      <c r="D217" s="7"/>
      <c r="E217" s="6"/>
      <c r="F217" s="5"/>
      <c r="I217" s="6"/>
      <c r="J217" s="6"/>
      <c r="K217" s="6"/>
    </row>
    <row r="218" spans="2:11" x14ac:dyDescent="0.3">
      <c r="B218" s="3"/>
      <c r="C218" s="7"/>
      <c r="D218" s="7"/>
      <c r="E218" s="6"/>
      <c r="F218" s="5"/>
      <c r="I218" s="6"/>
      <c r="J218" s="6"/>
      <c r="K218" s="6"/>
    </row>
    <row r="219" spans="2:11" x14ac:dyDescent="0.3">
      <c r="B219" s="3"/>
      <c r="C219" s="7"/>
      <c r="D219" s="7"/>
      <c r="E219" s="6"/>
      <c r="F219" s="5"/>
      <c r="I219" s="6"/>
      <c r="J219" s="6"/>
      <c r="K219" s="6"/>
    </row>
    <row r="220" spans="2:11" x14ac:dyDescent="0.3">
      <c r="B220" s="3"/>
      <c r="C220" s="7"/>
      <c r="D220" s="7"/>
      <c r="E220" s="6"/>
      <c r="F220" s="5"/>
      <c r="I220" s="6"/>
      <c r="J220" s="6"/>
      <c r="K220" s="6"/>
    </row>
    <row r="221" spans="2:11" x14ac:dyDescent="0.3">
      <c r="B221" s="3"/>
      <c r="C221" s="7"/>
      <c r="D221" s="7"/>
      <c r="E221" s="6"/>
      <c r="F221" s="5"/>
      <c r="I221" s="6"/>
      <c r="J221" s="6"/>
      <c r="K221" s="6"/>
    </row>
    <row r="222" spans="2:11" x14ac:dyDescent="0.3">
      <c r="B222" s="3"/>
      <c r="C222" s="7"/>
      <c r="D222" s="7"/>
      <c r="E222" s="6"/>
      <c r="F222" s="5"/>
      <c r="I222" s="6"/>
      <c r="J222" s="6"/>
      <c r="K222" s="6"/>
    </row>
    <row r="223" spans="2:11" x14ac:dyDescent="0.3">
      <c r="B223" s="3"/>
      <c r="C223" s="7"/>
      <c r="D223" s="7"/>
      <c r="E223" s="6"/>
      <c r="F223" s="5"/>
      <c r="I223" s="6"/>
      <c r="J223" s="6"/>
      <c r="K223" s="6"/>
    </row>
    <row r="224" spans="2:11" x14ac:dyDescent="0.3">
      <c r="B224" s="3"/>
      <c r="C224" s="7"/>
      <c r="D224" s="7"/>
      <c r="E224" s="6"/>
      <c r="F224" s="5"/>
      <c r="I224" s="6"/>
      <c r="J224" s="6"/>
      <c r="K224" s="6"/>
    </row>
    <row r="225" spans="2:11" x14ac:dyDescent="0.3">
      <c r="B225" s="3"/>
      <c r="C225" s="7"/>
      <c r="D225" s="7"/>
      <c r="E225" s="6"/>
      <c r="F225" s="5"/>
      <c r="I225" s="6"/>
      <c r="J225" s="6"/>
      <c r="K225" s="6"/>
    </row>
    <row r="226" spans="2:11" x14ac:dyDescent="0.3">
      <c r="B226" s="3"/>
      <c r="C226" s="7"/>
      <c r="D226" s="7"/>
      <c r="E226" s="6"/>
      <c r="F226" s="5"/>
      <c r="I226" s="6"/>
      <c r="J226" s="6"/>
      <c r="K226" s="6"/>
    </row>
    <row r="227" spans="2:11" x14ac:dyDescent="0.3">
      <c r="B227" s="3"/>
      <c r="C227" s="7"/>
      <c r="D227" s="7"/>
      <c r="E227" s="6"/>
      <c r="F227" s="5"/>
      <c r="I227" s="6"/>
      <c r="J227" s="6"/>
      <c r="K227" s="6"/>
    </row>
    <row r="228" spans="2:11" x14ac:dyDescent="0.3">
      <c r="B228" s="3"/>
      <c r="C228" s="7"/>
      <c r="D228" s="7"/>
      <c r="E228" s="6"/>
      <c r="F228" s="5"/>
      <c r="I228" s="6"/>
      <c r="J228" s="6"/>
      <c r="K228" s="6"/>
    </row>
    <row r="229" spans="2:11" x14ac:dyDescent="0.3">
      <c r="B229" s="3"/>
      <c r="C229" s="7"/>
      <c r="D229" s="7"/>
      <c r="E229" s="6"/>
      <c r="F229" s="5"/>
      <c r="I229" s="6"/>
      <c r="J229" s="6"/>
      <c r="K229" s="6"/>
    </row>
    <row r="230" spans="2:11" x14ac:dyDescent="0.3">
      <c r="B230" s="3"/>
      <c r="C230" s="7"/>
      <c r="D230" s="7"/>
      <c r="E230" s="6"/>
      <c r="F230" s="5"/>
      <c r="I230" s="6"/>
      <c r="J230" s="6"/>
      <c r="K230" s="6"/>
    </row>
    <row r="231" spans="2:11" x14ac:dyDescent="0.3">
      <c r="B231" s="3"/>
      <c r="C231" s="7"/>
      <c r="D231" s="7"/>
      <c r="E231" s="6"/>
      <c r="F231" s="5"/>
      <c r="I231" s="6"/>
      <c r="J231" s="6"/>
      <c r="K231" s="6"/>
    </row>
    <row r="232" spans="2:11" x14ac:dyDescent="0.3">
      <c r="B232" s="3"/>
      <c r="C232" s="7"/>
      <c r="D232" s="7"/>
      <c r="E232" s="6"/>
      <c r="F232" s="5"/>
      <c r="I232" s="6"/>
      <c r="J232" s="6"/>
      <c r="K232" s="6"/>
    </row>
    <row r="233" spans="2:11" x14ac:dyDescent="0.3">
      <c r="B233" s="3"/>
      <c r="C233" s="7"/>
      <c r="D233" s="7"/>
      <c r="E233" s="6"/>
      <c r="F233" s="5"/>
      <c r="I233" s="6"/>
      <c r="J233" s="6"/>
      <c r="K233" s="6"/>
    </row>
    <row r="234" spans="2:11" x14ac:dyDescent="0.3">
      <c r="B234" s="3"/>
      <c r="C234" s="7"/>
      <c r="D234" s="7"/>
      <c r="E234" s="6"/>
      <c r="F234" s="5"/>
      <c r="I234" s="6"/>
      <c r="J234" s="6"/>
      <c r="K234" s="6"/>
    </row>
    <row r="235" spans="2:11" x14ac:dyDescent="0.3">
      <c r="B235" s="3"/>
      <c r="C235" s="7"/>
      <c r="D235" s="7"/>
      <c r="E235" s="6"/>
      <c r="F235" s="5"/>
      <c r="I235" s="6"/>
      <c r="J235" s="6"/>
      <c r="K235" s="6"/>
    </row>
    <row r="236" spans="2:11" x14ac:dyDescent="0.3">
      <c r="B236" s="3"/>
      <c r="C236" s="7"/>
      <c r="D236" s="7"/>
      <c r="E236" s="6"/>
      <c r="F236" s="5"/>
      <c r="I236" s="6"/>
      <c r="J236" s="6"/>
      <c r="K236" s="6"/>
    </row>
    <row r="237" spans="2:11" x14ac:dyDescent="0.3">
      <c r="B237" s="3"/>
      <c r="C237" s="7"/>
      <c r="D237" s="7"/>
      <c r="E237" s="6"/>
      <c r="F237" s="5"/>
      <c r="I237" s="6"/>
      <c r="J237" s="6"/>
      <c r="K237" s="6"/>
    </row>
    <row r="238" spans="2:11" x14ac:dyDescent="0.3">
      <c r="B238" s="3"/>
      <c r="C238" s="7"/>
      <c r="D238" s="7"/>
      <c r="E238" s="6"/>
      <c r="F238" s="5"/>
      <c r="I238" s="6"/>
      <c r="J238" s="6"/>
      <c r="K238" s="6"/>
    </row>
    <row r="239" spans="2:11" x14ac:dyDescent="0.3">
      <c r="B239" s="3"/>
      <c r="C239" s="7"/>
      <c r="D239" s="7"/>
      <c r="E239" s="6"/>
      <c r="F239" s="5"/>
      <c r="I239" s="6"/>
      <c r="J239" s="6"/>
      <c r="K239" s="6"/>
    </row>
    <row r="240" spans="2:11" x14ac:dyDescent="0.3">
      <c r="B240" s="3"/>
      <c r="C240" s="7"/>
      <c r="D240" s="7"/>
      <c r="E240" s="6"/>
      <c r="F240" s="5"/>
      <c r="I240" s="6"/>
      <c r="J240" s="6"/>
      <c r="K240" s="6"/>
    </row>
    <row r="241" spans="2:11" x14ac:dyDescent="0.3">
      <c r="B241" s="3"/>
      <c r="C241" s="7"/>
      <c r="D241" s="7"/>
      <c r="E241" s="6"/>
      <c r="F241" s="5"/>
      <c r="I241" s="6"/>
      <c r="J241" s="6"/>
      <c r="K241" s="6"/>
    </row>
    <row r="242" spans="2:11" x14ac:dyDescent="0.3">
      <c r="B242" s="3"/>
      <c r="C242" s="7"/>
      <c r="D242" s="7"/>
      <c r="E242" s="6"/>
      <c r="F242" s="5"/>
      <c r="I242" s="6"/>
      <c r="J242" s="6"/>
      <c r="K242" s="6"/>
    </row>
    <row r="243" spans="2:11" x14ac:dyDescent="0.3">
      <c r="B243" s="3"/>
      <c r="C243" s="7"/>
      <c r="D243" s="7"/>
      <c r="E243" s="6"/>
      <c r="F243" s="5"/>
      <c r="I243" s="6"/>
      <c r="J243" s="6"/>
      <c r="K243" s="6"/>
    </row>
    <row r="244" spans="2:11" x14ac:dyDescent="0.3">
      <c r="B244" s="3"/>
      <c r="C244" s="7"/>
      <c r="D244" s="7"/>
      <c r="E244" s="6"/>
      <c r="F244" s="5"/>
      <c r="I244" s="6"/>
      <c r="J244" s="6"/>
      <c r="K244" s="6"/>
    </row>
    <row r="245" spans="2:11" x14ac:dyDescent="0.3">
      <c r="B245" s="3"/>
      <c r="C245" s="7"/>
      <c r="D245" s="7"/>
      <c r="E245" s="6"/>
      <c r="F245" s="5"/>
      <c r="I245" s="6"/>
      <c r="J245" s="6"/>
      <c r="K245" s="6"/>
    </row>
    <row r="246" spans="2:11" x14ac:dyDescent="0.3">
      <c r="B246" s="3"/>
      <c r="C246" s="7"/>
      <c r="D246" s="7"/>
      <c r="E246" s="6"/>
      <c r="F246" s="5"/>
      <c r="I246" s="6"/>
      <c r="J246" s="6"/>
      <c r="K246" s="6"/>
    </row>
    <row r="247" spans="2:11" x14ac:dyDescent="0.3">
      <c r="B247" s="3"/>
      <c r="C247" s="7"/>
      <c r="D247" s="7"/>
      <c r="E247" s="6"/>
      <c r="F247" s="5"/>
      <c r="I247" s="6"/>
      <c r="J247" s="6"/>
      <c r="K247" s="6"/>
    </row>
    <row r="248" spans="2:11" x14ac:dyDescent="0.3">
      <c r="B248" s="3"/>
      <c r="C248" s="7"/>
      <c r="D248" s="7"/>
      <c r="E248" s="6"/>
      <c r="F248" s="5"/>
      <c r="I248" s="6"/>
      <c r="J248" s="6"/>
      <c r="K248" s="6"/>
    </row>
    <row r="249" spans="2:11" x14ac:dyDescent="0.3">
      <c r="B249" s="3"/>
      <c r="C249" s="7"/>
      <c r="D249" s="7"/>
      <c r="E249" s="6"/>
      <c r="F249" s="5"/>
      <c r="I249" s="6"/>
      <c r="J249" s="6"/>
      <c r="K249" s="6"/>
    </row>
    <row r="250" spans="2:11" x14ac:dyDescent="0.3">
      <c r="B250" s="3"/>
      <c r="C250" s="7"/>
      <c r="D250" s="7"/>
      <c r="E250" s="6"/>
      <c r="F250" s="5"/>
      <c r="I250" s="6"/>
      <c r="J250" s="6"/>
      <c r="K250" s="6"/>
    </row>
    <row r="251" spans="2:11" x14ac:dyDescent="0.3">
      <c r="B251" s="3"/>
      <c r="C251" s="7"/>
      <c r="D251" s="7"/>
      <c r="E251" s="6"/>
      <c r="F251" s="5"/>
      <c r="I251" s="6"/>
      <c r="J251" s="6"/>
      <c r="K251" s="6"/>
    </row>
    <row r="252" spans="2:11" x14ac:dyDescent="0.3">
      <c r="B252" s="3"/>
      <c r="C252" s="7"/>
      <c r="D252" s="7"/>
      <c r="E252" s="6"/>
      <c r="F252" s="5"/>
      <c r="I252" s="6"/>
      <c r="J252" s="6"/>
      <c r="K252" s="6"/>
    </row>
    <row r="253" spans="2:11" x14ac:dyDescent="0.3">
      <c r="B253" s="3"/>
      <c r="C253" s="7"/>
      <c r="D253" s="7"/>
      <c r="E253" s="6"/>
      <c r="F253" s="5"/>
      <c r="I253" s="6"/>
      <c r="J253" s="6"/>
      <c r="K253" s="6"/>
    </row>
    <row r="254" spans="2:11" x14ac:dyDescent="0.3">
      <c r="B254" s="3"/>
      <c r="C254" s="7"/>
      <c r="D254" s="7"/>
      <c r="E254" s="6"/>
      <c r="F254" s="5"/>
      <c r="I254" s="6"/>
      <c r="J254" s="6"/>
      <c r="K254" s="6"/>
    </row>
    <row r="255" spans="2:11" x14ac:dyDescent="0.3">
      <c r="B255" s="3"/>
      <c r="C255" s="7"/>
      <c r="D255" s="7"/>
      <c r="E255" s="6"/>
      <c r="F255" s="5"/>
      <c r="I255" s="6"/>
      <c r="J255" s="6"/>
      <c r="K255" s="6"/>
    </row>
    <row r="256" spans="2:11" x14ac:dyDescent="0.3">
      <c r="B256" s="3"/>
      <c r="C256" s="7"/>
      <c r="D256" s="7"/>
      <c r="E256" s="6"/>
      <c r="F256" s="5"/>
      <c r="I256" s="6"/>
      <c r="J256" s="6"/>
      <c r="K256" s="6"/>
    </row>
    <row r="257" spans="2:11" x14ac:dyDescent="0.3">
      <c r="B257" s="3"/>
      <c r="C257" s="7"/>
      <c r="D257" s="7"/>
      <c r="E257" s="6"/>
      <c r="F257" s="5"/>
      <c r="I257" s="6"/>
      <c r="J257" s="6"/>
      <c r="K257" s="6"/>
    </row>
    <row r="258" spans="2:11" x14ac:dyDescent="0.3">
      <c r="B258" s="3"/>
      <c r="C258" s="7"/>
      <c r="D258" s="7"/>
      <c r="E258" s="6"/>
      <c r="F258" s="5"/>
      <c r="I258" s="6"/>
      <c r="J258" s="6"/>
      <c r="K258" s="6"/>
    </row>
    <row r="259" spans="2:11" x14ac:dyDescent="0.3">
      <c r="B259" s="3"/>
      <c r="C259" s="7"/>
      <c r="D259" s="7"/>
      <c r="E259" s="6"/>
      <c r="F259" s="5"/>
      <c r="I259" s="6"/>
      <c r="J259" s="6"/>
      <c r="K259" s="6"/>
    </row>
    <row r="260" spans="2:11" x14ac:dyDescent="0.3">
      <c r="B260" s="3"/>
      <c r="C260" s="7"/>
      <c r="D260" s="7"/>
      <c r="E260" s="6"/>
      <c r="F260" s="5"/>
      <c r="I260" s="6"/>
      <c r="J260" s="6"/>
      <c r="K260" s="6"/>
    </row>
    <row r="261" spans="2:11" x14ac:dyDescent="0.3">
      <c r="B261" s="3"/>
      <c r="C261" s="7"/>
      <c r="D261" s="7"/>
      <c r="E261" s="6"/>
      <c r="F261" s="5"/>
      <c r="I261" s="6"/>
      <c r="J261" s="6"/>
      <c r="K261" s="6"/>
    </row>
    <row r="262" spans="2:11" x14ac:dyDescent="0.3">
      <c r="B262" s="3"/>
      <c r="C262" s="7"/>
      <c r="D262" s="7"/>
      <c r="E262" s="6"/>
      <c r="F262" s="5"/>
      <c r="I262" s="6"/>
      <c r="J262" s="6"/>
      <c r="K262" s="6"/>
    </row>
    <row r="263" spans="2:11" x14ac:dyDescent="0.3">
      <c r="B263" s="3"/>
      <c r="C263" s="7"/>
      <c r="D263" s="7"/>
      <c r="E263" s="6"/>
      <c r="F263" s="5"/>
      <c r="I263" s="6"/>
      <c r="J263" s="6"/>
      <c r="K263" s="6"/>
    </row>
    <row r="264" spans="2:11" x14ac:dyDescent="0.3">
      <c r="B264" s="3"/>
      <c r="C264" s="7"/>
      <c r="D264" s="7"/>
      <c r="E264" s="6"/>
      <c r="F264" s="5"/>
      <c r="I264" s="6"/>
      <c r="J264" s="6"/>
      <c r="K264" s="6"/>
    </row>
    <row r="265" spans="2:11" x14ac:dyDescent="0.3">
      <c r="B265" s="3"/>
      <c r="C265" s="7"/>
      <c r="D265" s="7"/>
      <c r="E265" s="6"/>
      <c r="F265" s="5"/>
      <c r="I265" s="6"/>
      <c r="J265" s="6"/>
      <c r="K265" s="6"/>
    </row>
    <row r="266" spans="2:11" x14ac:dyDescent="0.3">
      <c r="B266" s="3"/>
      <c r="C266" s="7"/>
      <c r="D266" s="7"/>
      <c r="E266" s="6"/>
      <c r="F266" s="5"/>
      <c r="I266" s="6"/>
      <c r="J266" s="6"/>
      <c r="K266" s="6"/>
    </row>
    <row r="267" spans="2:11" x14ac:dyDescent="0.3">
      <c r="B267" s="3"/>
      <c r="C267" s="7"/>
      <c r="D267" s="7"/>
      <c r="E267" s="6"/>
      <c r="F267" s="5"/>
      <c r="I267" s="6"/>
      <c r="J267" s="6"/>
      <c r="K267" s="6"/>
    </row>
    <row r="268" spans="2:11" x14ac:dyDescent="0.3">
      <c r="B268" s="3"/>
      <c r="C268" s="7"/>
      <c r="D268" s="7"/>
      <c r="E268" s="6"/>
      <c r="F268" s="5"/>
      <c r="I268" s="6"/>
      <c r="J268" s="6"/>
      <c r="K268" s="6"/>
    </row>
    <row r="269" spans="2:11" x14ac:dyDescent="0.3">
      <c r="B269" s="3"/>
      <c r="C269" s="7"/>
      <c r="D269" s="7"/>
      <c r="E269" s="6"/>
      <c r="F269" s="5"/>
      <c r="I269" s="6"/>
      <c r="J269" s="6"/>
      <c r="K269" s="6"/>
    </row>
    <row r="270" spans="2:11" x14ac:dyDescent="0.3">
      <c r="B270" s="3"/>
      <c r="C270" s="7"/>
      <c r="D270" s="7"/>
      <c r="E270" s="6"/>
      <c r="F270" s="5"/>
      <c r="I270" s="6"/>
      <c r="J270" s="6"/>
      <c r="K270" s="6"/>
    </row>
    <row r="271" spans="2:11" x14ac:dyDescent="0.3">
      <c r="B271" s="3"/>
      <c r="C271" s="7"/>
      <c r="D271" s="7"/>
      <c r="E271" s="6"/>
      <c r="F271" s="5"/>
      <c r="I271" s="6"/>
      <c r="J271" s="6"/>
      <c r="K271" s="6"/>
    </row>
    <row r="272" spans="2:11" x14ac:dyDescent="0.3">
      <c r="B272" s="3"/>
      <c r="C272" s="7"/>
      <c r="D272" s="7"/>
      <c r="E272" s="6"/>
      <c r="F272" s="5"/>
      <c r="I272" s="6"/>
      <c r="J272" s="6"/>
      <c r="K272" s="6"/>
    </row>
    <row r="273" spans="2:11" x14ac:dyDescent="0.3">
      <c r="B273" s="3"/>
      <c r="C273" s="7"/>
      <c r="D273" s="7"/>
      <c r="E273" s="6"/>
      <c r="F273" s="5"/>
      <c r="I273" s="6"/>
      <c r="J273" s="6"/>
      <c r="K273" s="6"/>
    </row>
    <row r="274" spans="2:11" x14ac:dyDescent="0.3">
      <c r="B274" s="3"/>
      <c r="C274" s="7"/>
      <c r="D274" s="7"/>
      <c r="E274" s="6"/>
      <c r="F274" s="5"/>
      <c r="I274" s="6"/>
      <c r="J274" s="6"/>
      <c r="K274" s="6"/>
    </row>
    <row r="275" spans="2:11" x14ac:dyDescent="0.3">
      <c r="B275" s="3"/>
      <c r="C275" s="7"/>
      <c r="D275" s="7"/>
      <c r="E275" s="6"/>
      <c r="F275" s="5"/>
      <c r="I275" s="6"/>
      <c r="J275" s="6"/>
      <c r="K275" s="6"/>
    </row>
    <row r="276" spans="2:11" x14ac:dyDescent="0.3">
      <c r="B276" s="3"/>
      <c r="C276" s="7"/>
      <c r="D276" s="7"/>
      <c r="E276" s="6"/>
      <c r="F276" s="5"/>
      <c r="I276" s="6"/>
      <c r="J276" s="6"/>
      <c r="K276" s="6"/>
    </row>
    <row r="277" spans="2:11" x14ac:dyDescent="0.3">
      <c r="B277" s="3"/>
      <c r="C277" s="7"/>
      <c r="D277" s="7"/>
      <c r="E277" s="6"/>
      <c r="F277" s="5"/>
      <c r="I277" s="6"/>
      <c r="J277" s="6"/>
      <c r="K277" s="6"/>
    </row>
    <row r="278" spans="2:11" x14ac:dyDescent="0.3">
      <c r="B278" s="3"/>
      <c r="C278" s="7"/>
      <c r="D278" s="7"/>
      <c r="E278" s="6"/>
      <c r="F278" s="5"/>
      <c r="I278" s="6"/>
      <c r="J278" s="6"/>
      <c r="K278" s="6"/>
    </row>
    <row r="279" spans="2:11" x14ac:dyDescent="0.3">
      <c r="B279" s="3"/>
      <c r="C279" s="7"/>
      <c r="D279" s="7"/>
      <c r="E279" s="6"/>
      <c r="F279" s="5"/>
      <c r="I279" s="6"/>
      <c r="J279" s="6"/>
      <c r="K279" s="6"/>
    </row>
    <row r="280" spans="2:11" x14ac:dyDescent="0.3">
      <c r="B280" s="3"/>
      <c r="C280" s="7"/>
      <c r="D280" s="7"/>
      <c r="E280" s="6"/>
      <c r="F280" s="5"/>
      <c r="I280" s="6"/>
      <c r="J280" s="6"/>
      <c r="K280" s="6"/>
    </row>
    <row r="281" spans="2:11" x14ac:dyDescent="0.3">
      <c r="B281" s="3"/>
      <c r="C281" s="7"/>
      <c r="D281" s="7"/>
      <c r="E281" s="6"/>
      <c r="F281" s="5"/>
      <c r="I281" s="6"/>
      <c r="J281" s="6"/>
      <c r="K281" s="6"/>
    </row>
    <row r="282" spans="2:11" x14ac:dyDescent="0.3">
      <c r="B282" s="3"/>
      <c r="C282" s="7"/>
      <c r="D282" s="7"/>
      <c r="E282" s="6"/>
      <c r="F282" s="5"/>
      <c r="I282" s="6"/>
      <c r="J282" s="6"/>
      <c r="K282" s="6"/>
    </row>
    <row r="283" spans="2:11" x14ac:dyDescent="0.3">
      <c r="B283" s="3"/>
      <c r="C283" s="7"/>
      <c r="D283" s="7"/>
      <c r="E283" s="6"/>
      <c r="F283" s="5"/>
      <c r="I283" s="6"/>
      <c r="J283" s="6"/>
      <c r="K283" s="6"/>
    </row>
    <row r="284" spans="2:11" x14ac:dyDescent="0.3">
      <c r="B284" s="3"/>
      <c r="C284" s="7"/>
      <c r="D284" s="7"/>
      <c r="E284" s="6"/>
      <c r="F284" s="5"/>
      <c r="I284" s="6"/>
      <c r="J284" s="6"/>
      <c r="K284" s="6"/>
    </row>
    <row r="285" spans="2:11" x14ac:dyDescent="0.3">
      <c r="B285" s="3"/>
      <c r="C285" s="7"/>
      <c r="D285" s="7"/>
      <c r="E285" s="6"/>
      <c r="F285" s="5"/>
      <c r="I285" s="6"/>
      <c r="J285" s="6"/>
      <c r="K285" s="6"/>
    </row>
    <row r="286" spans="2:11" x14ac:dyDescent="0.3">
      <c r="B286" s="3"/>
      <c r="C286" s="7"/>
      <c r="D286" s="7"/>
      <c r="E286" s="6"/>
      <c r="F286" s="5"/>
      <c r="I286" s="6"/>
      <c r="J286" s="6"/>
      <c r="K286" s="6"/>
    </row>
    <row r="287" spans="2:11" x14ac:dyDescent="0.3">
      <c r="B287" s="3"/>
      <c r="C287" s="7"/>
      <c r="D287" s="7"/>
      <c r="E287" s="6"/>
      <c r="F287" s="5"/>
      <c r="I287" s="6"/>
      <c r="J287" s="6"/>
      <c r="K287" s="6"/>
    </row>
    <row r="288" spans="2:11" x14ac:dyDescent="0.3">
      <c r="B288" s="3"/>
      <c r="C288" s="7"/>
      <c r="D288" s="7"/>
      <c r="E288" s="6"/>
      <c r="F288" s="5"/>
      <c r="I288" s="6"/>
      <c r="J288" s="6"/>
      <c r="K288" s="6"/>
    </row>
    <row r="289" spans="2:11" x14ac:dyDescent="0.3">
      <c r="B289" s="3"/>
      <c r="C289" s="7"/>
      <c r="D289" s="7"/>
      <c r="E289" s="6"/>
      <c r="F289" s="5"/>
      <c r="I289" s="6"/>
      <c r="J289" s="6"/>
      <c r="K289" s="6"/>
    </row>
    <row r="290" spans="2:11" x14ac:dyDescent="0.3">
      <c r="B290" s="3"/>
      <c r="C290" s="7"/>
      <c r="D290" s="7"/>
      <c r="E290" s="6"/>
      <c r="F290" s="5"/>
      <c r="I290" s="6"/>
      <c r="J290" s="6"/>
      <c r="K290" s="6"/>
    </row>
    <row r="291" spans="2:11" x14ac:dyDescent="0.3">
      <c r="B291" s="3"/>
      <c r="C291" s="7"/>
      <c r="D291" s="7"/>
      <c r="E291" s="6"/>
      <c r="F291" s="5"/>
      <c r="I291" s="6"/>
      <c r="J291" s="6"/>
      <c r="K291" s="6"/>
    </row>
    <row r="292" spans="2:11" x14ac:dyDescent="0.3">
      <c r="B292" s="3"/>
      <c r="C292" s="7"/>
      <c r="D292" s="7"/>
      <c r="E292" s="6"/>
      <c r="F292" s="5"/>
      <c r="I292" s="6"/>
      <c r="J292" s="6"/>
      <c r="K292" s="6"/>
    </row>
    <row r="293" spans="2:11" x14ac:dyDescent="0.3">
      <c r="B293" s="3"/>
      <c r="C293" s="7"/>
      <c r="D293" s="7"/>
      <c r="E293" s="6"/>
      <c r="F293" s="5"/>
      <c r="I293" s="6"/>
      <c r="J293" s="6"/>
      <c r="K293" s="6"/>
    </row>
    <row r="294" spans="2:11" x14ac:dyDescent="0.3">
      <c r="B294" s="3"/>
      <c r="C294" s="7"/>
      <c r="D294" s="7"/>
      <c r="E294" s="6"/>
      <c r="F294" s="5"/>
      <c r="I294" s="6"/>
      <c r="J294" s="6"/>
      <c r="K294" s="6"/>
    </row>
    <row r="295" spans="2:11" x14ac:dyDescent="0.3">
      <c r="B295" s="3"/>
      <c r="C295" s="7"/>
      <c r="D295" s="7"/>
      <c r="E295" s="6"/>
      <c r="F295" s="5"/>
      <c r="I295" s="6"/>
      <c r="J295" s="6"/>
      <c r="K295" s="6"/>
    </row>
    <row r="296" spans="2:11" x14ac:dyDescent="0.3">
      <c r="B296" s="3"/>
      <c r="C296" s="7"/>
      <c r="D296" s="7"/>
      <c r="E296" s="6"/>
      <c r="F296" s="5"/>
      <c r="I296" s="6"/>
      <c r="J296" s="6"/>
      <c r="K296" s="6"/>
    </row>
    <row r="297" spans="2:11" x14ac:dyDescent="0.3">
      <c r="B297" s="3"/>
      <c r="C297" s="7"/>
      <c r="D297" s="7"/>
      <c r="E297" s="6"/>
      <c r="F297" s="5"/>
      <c r="I297" s="6"/>
      <c r="J297" s="6"/>
      <c r="K297" s="6"/>
    </row>
    <row r="298" spans="2:11" x14ac:dyDescent="0.3">
      <c r="B298" s="3"/>
      <c r="C298" s="7"/>
      <c r="D298" s="7"/>
      <c r="E298" s="6"/>
      <c r="F298" s="5"/>
      <c r="I298" s="6"/>
      <c r="J298" s="6"/>
      <c r="K298" s="6"/>
    </row>
    <row r="299" spans="2:11" x14ac:dyDescent="0.3">
      <c r="B299" s="3"/>
      <c r="C299" s="7"/>
      <c r="D299" s="7"/>
      <c r="E299" s="6"/>
      <c r="F299" s="5"/>
      <c r="I299" s="6"/>
      <c r="J299" s="6"/>
      <c r="K299" s="6"/>
    </row>
    <row r="300" spans="2:11" x14ac:dyDescent="0.3">
      <c r="B300" s="3"/>
      <c r="C300" s="7"/>
      <c r="D300" s="7"/>
      <c r="E300" s="6"/>
      <c r="F300" s="5"/>
      <c r="I300" s="6"/>
      <c r="J300" s="6"/>
      <c r="K300" s="6"/>
    </row>
    <row r="301" spans="2:11" x14ac:dyDescent="0.3">
      <c r="B301" s="3"/>
      <c r="C301" s="7"/>
      <c r="D301" s="7"/>
      <c r="E301" s="6"/>
      <c r="F301" s="5"/>
      <c r="I301" s="6"/>
      <c r="J301" s="6"/>
      <c r="K301" s="6"/>
    </row>
    <row r="302" spans="2:11" x14ac:dyDescent="0.3">
      <c r="B302" s="3"/>
      <c r="C302" s="7"/>
      <c r="D302" s="7"/>
      <c r="E302" s="6"/>
      <c r="F302" s="5"/>
      <c r="I302" s="6"/>
      <c r="J302" s="6"/>
      <c r="K302" s="6"/>
    </row>
    <row r="303" spans="2:11" x14ac:dyDescent="0.3">
      <c r="B303" s="3"/>
      <c r="C303" s="7"/>
      <c r="D303" s="7"/>
      <c r="E303" s="6"/>
      <c r="F303" s="5"/>
      <c r="I303" s="6"/>
      <c r="J303" s="6"/>
      <c r="K303" s="6"/>
    </row>
    <row r="304" spans="2:11" x14ac:dyDescent="0.3">
      <c r="B304" s="3"/>
      <c r="C304" s="7"/>
      <c r="D304" s="7"/>
      <c r="E304" s="6"/>
      <c r="F304" s="5"/>
      <c r="I304" s="6"/>
      <c r="J304" s="6"/>
      <c r="K304" s="6"/>
    </row>
    <row r="305" spans="2:11" x14ac:dyDescent="0.3">
      <c r="B305" s="3"/>
      <c r="C305" s="7"/>
      <c r="D305" s="7"/>
      <c r="E305" s="6"/>
      <c r="F305" s="5"/>
      <c r="I305" s="6"/>
      <c r="J305" s="6"/>
      <c r="K305" s="6"/>
    </row>
    <row r="306" spans="2:11" x14ac:dyDescent="0.3">
      <c r="B306" s="3"/>
      <c r="C306" s="7"/>
      <c r="D306" s="7"/>
      <c r="E306" s="6"/>
      <c r="F306" s="5"/>
      <c r="I306" s="6"/>
      <c r="J306" s="6"/>
      <c r="K306" s="6"/>
    </row>
    <row r="307" spans="2:11" x14ac:dyDescent="0.3">
      <c r="B307" s="3"/>
      <c r="C307" s="7"/>
      <c r="D307" s="7"/>
      <c r="E307" s="6"/>
      <c r="F307" s="5"/>
      <c r="I307" s="6"/>
      <c r="J307" s="6"/>
      <c r="K307" s="6"/>
    </row>
    <row r="308" spans="2:11" x14ac:dyDescent="0.3">
      <c r="B308" s="3"/>
      <c r="C308" s="7"/>
      <c r="D308" s="7"/>
      <c r="E308" s="6"/>
      <c r="F308" s="5"/>
      <c r="I308" s="6"/>
      <c r="J308" s="6"/>
      <c r="K308" s="6"/>
    </row>
    <row r="309" spans="2:11" x14ac:dyDescent="0.3">
      <c r="B309" s="3"/>
      <c r="C309" s="7"/>
      <c r="D309" s="7"/>
      <c r="E309" s="6"/>
      <c r="F309" s="5"/>
      <c r="I309" s="6"/>
      <c r="J309" s="6"/>
      <c r="K309" s="6"/>
    </row>
    <row r="310" spans="2:11" x14ac:dyDescent="0.3">
      <c r="B310" s="3"/>
      <c r="C310" s="7"/>
      <c r="D310" s="7"/>
      <c r="E310" s="6"/>
      <c r="F310" s="5"/>
      <c r="I310" s="6"/>
      <c r="J310" s="6"/>
      <c r="K310" s="6"/>
    </row>
    <row r="311" spans="2:11" x14ac:dyDescent="0.3">
      <c r="B311" s="3"/>
      <c r="C311" s="7"/>
      <c r="D311" s="7"/>
      <c r="E311" s="6"/>
      <c r="F311" s="5"/>
      <c r="I311" s="6"/>
      <c r="J311" s="6"/>
      <c r="K311" s="6"/>
    </row>
    <row r="312" spans="2:11" x14ac:dyDescent="0.3">
      <c r="B312" s="3"/>
      <c r="C312" s="7"/>
      <c r="D312" s="7"/>
      <c r="E312" s="6"/>
      <c r="F312" s="5"/>
      <c r="I312" s="6"/>
      <c r="J312" s="6"/>
      <c r="K312" s="6"/>
    </row>
    <row r="313" spans="2:11" x14ac:dyDescent="0.3">
      <c r="B313" s="3"/>
      <c r="C313" s="7"/>
      <c r="D313" s="7"/>
      <c r="E313" s="6"/>
      <c r="F313" s="5"/>
      <c r="I313" s="6"/>
      <c r="J313" s="6"/>
      <c r="K313" s="6"/>
    </row>
    <row r="314" spans="2:11" x14ac:dyDescent="0.3">
      <c r="B314" s="3"/>
      <c r="C314" s="7"/>
      <c r="D314" s="7"/>
      <c r="E314" s="6"/>
      <c r="F314" s="5"/>
      <c r="I314" s="6"/>
      <c r="J314" s="6"/>
      <c r="K314" s="6"/>
    </row>
    <row r="315" spans="2:11" x14ac:dyDescent="0.3">
      <c r="B315" s="3"/>
      <c r="C315" s="7"/>
      <c r="D315" s="7"/>
      <c r="E315" s="6"/>
      <c r="F315" s="5"/>
      <c r="I315" s="6"/>
      <c r="J315" s="6"/>
      <c r="K315" s="6"/>
    </row>
    <row r="316" spans="2:11" x14ac:dyDescent="0.3">
      <c r="B316" s="3"/>
      <c r="C316" s="7"/>
      <c r="D316" s="7"/>
      <c r="E316" s="6"/>
      <c r="F316" s="5"/>
      <c r="I316" s="6"/>
      <c r="J316" s="6"/>
      <c r="K316" s="6"/>
    </row>
    <row r="317" spans="2:11" x14ac:dyDescent="0.3">
      <c r="B317" s="3"/>
      <c r="C317" s="7"/>
      <c r="D317" s="7"/>
      <c r="E317" s="6"/>
      <c r="F317" s="5"/>
      <c r="I317" s="6"/>
      <c r="J317" s="6"/>
      <c r="K317" s="6"/>
    </row>
    <row r="318" spans="2:11" x14ac:dyDescent="0.3">
      <c r="B318" s="3"/>
      <c r="C318" s="7"/>
      <c r="D318" s="7"/>
      <c r="E318" s="6"/>
      <c r="F318" s="5"/>
      <c r="I318" s="6"/>
      <c r="J318" s="6"/>
      <c r="K318" s="6"/>
    </row>
    <row r="319" spans="2:11" x14ac:dyDescent="0.3">
      <c r="B319" s="3"/>
      <c r="C319" s="7"/>
      <c r="D319" s="7"/>
      <c r="E319" s="6"/>
      <c r="F319" s="5"/>
      <c r="I319" s="6"/>
      <c r="J319" s="6"/>
      <c r="K319" s="6"/>
    </row>
    <row r="320" spans="2:11" x14ac:dyDescent="0.3">
      <c r="B320" s="3"/>
      <c r="C320" s="7"/>
      <c r="D320" s="7"/>
      <c r="E320" s="6"/>
      <c r="F320" s="5"/>
      <c r="I320" s="6"/>
      <c r="J320" s="6"/>
      <c r="K320" s="6"/>
    </row>
    <row r="321" spans="2:11" x14ac:dyDescent="0.3">
      <c r="B321" s="3"/>
      <c r="C321" s="7"/>
      <c r="D321" s="7"/>
      <c r="E321" s="6"/>
      <c r="F321" s="5"/>
      <c r="I321" s="6"/>
      <c r="J321" s="6"/>
      <c r="K321" s="6"/>
    </row>
    <row r="322" spans="2:11" x14ac:dyDescent="0.3">
      <c r="B322" s="3"/>
      <c r="C322" s="7"/>
      <c r="D322" s="7"/>
      <c r="E322" s="6"/>
      <c r="F322" s="5"/>
      <c r="I322" s="6"/>
      <c r="J322" s="6"/>
      <c r="K322" s="6"/>
    </row>
    <row r="323" spans="2:11" x14ac:dyDescent="0.3">
      <c r="B323" s="3"/>
      <c r="C323" s="7"/>
      <c r="D323" s="7"/>
      <c r="E323" s="6"/>
      <c r="F323" s="5"/>
      <c r="I323" s="6"/>
      <c r="J323" s="6"/>
      <c r="K323" s="6"/>
    </row>
    <row r="324" spans="2:11" x14ac:dyDescent="0.3">
      <c r="B324" s="3"/>
      <c r="C324" s="7"/>
      <c r="D324" s="7"/>
      <c r="E324" s="6"/>
      <c r="F324" s="5"/>
      <c r="I324" s="6"/>
      <c r="J324" s="6"/>
      <c r="K324" s="6"/>
    </row>
    <row r="325" spans="2:11" x14ac:dyDescent="0.3">
      <c r="B325" s="3"/>
      <c r="C325" s="7"/>
      <c r="D325" s="7"/>
      <c r="E325" s="6"/>
      <c r="F325" s="5"/>
      <c r="I325" s="6"/>
      <c r="J325" s="6"/>
      <c r="K325" s="6"/>
    </row>
    <row r="326" spans="2:11" x14ac:dyDescent="0.3">
      <c r="B326" s="3"/>
      <c r="C326" s="7"/>
      <c r="D326" s="7"/>
      <c r="E326" s="6"/>
      <c r="F326" s="5"/>
      <c r="I326" s="6"/>
      <c r="J326" s="6"/>
      <c r="K326" s="6"/>
    </row>
    <row r="327" spans="2:11" x14ac:dyDescent="0.3">
      <c r="B327" s="3"/>
      <c r="C327" s="7"/>
      <c r="D327" s="7"/>
      <c r="E327" s="6"/>
      <c r="F327" s="5"/>
      <c r="I327" s="6"/>
      <c r="J327" s="6"/>
      <c r="K327" s="6"/>
    </row>
    <row r="328" spans="2:11" x14ac:dyDescent="0.3">
      <c r="B328" s="3"/>
      <c r="C328" s="7"/>
      <c r="D328" s="7"/>
      <c r="E328" s="6"/>
      <c r="F328" s="5"/>
      <c r="I328" s="6"/>
      <c r="J328" s="6"/>
      <c r="K328" s="6"/>
    </row>
    <row r="329" spans="2:11" x14ac:dyDescent="0.3">
      <c r="B329" s="3"/>
      <c r="C329" s="7"/>
      <c r="D329" s="7"/>
      <c r="E329" s="6"/>
      <c r="F329" s="5"/>
      <c r="I329" s="6"/>
      <c r="J329" s="6"/>
      <c r="K329" s="6"/>
    </row>
    <row r="330" spans="2:11" x14ac:dyDescent="0.3">
      <c r="B330" s="3"/>
      <c r="C330" s="7"/>
      <c r="D330" s="7"/>
      <c r="E330" s="6"/>
      <c r="F330" s="5"/>
      <c r="I330" s="6"/>
      <c r="J330" s="6"/>
      <c r="K330" s="6"/>
    </row>
    <row r="331" spans="2:11" x14ac:dyDescent="0.3">
      <c r="B331" s="3"/>
      <c r="C331" s="7"/>
      <c r="D331" s="7"/>
      <c r="E331" s="6"/>
      <c r="F331" s="5"/>
      <c r="I331" s="6"/>
      <c r="J331" s="6"/>
      <c r="K331" s="6"/>
    </row>
    <row r="332" spans="2:11" x14ac:dyDescent="0.3">
      <c r="B332" s="3"/>
      <c r="C332" s="7"/>
      <c r="D332" s="7"/>
      <c r="E332" s="6"/>
      <c r="F332" s="5"/>
      <c r="I332" s="6"/>
      <c r="J332" s="6"/>
      <c r="K332" s="6"/>
    </row>
    <row r="333" spans="2:11" x14ac:dyDescent="0.3">
      <c r="B333" s="3"/>
      <c r="C333" s="7"/>
      <c r="D333" s="7"/>
      <c r="E333" s="6"/>
      <c r="F333" s="5"/>
      <c r="I333" s="6"/>
      <c r="J333" s="6"/>
      <c r="K333" s="6"/>
    </row>
    <row r="334" spans="2:11" x14ac:dyDescent="0.3">
      <c r="B334" s="3"/>
      <c r="C334" s="7"/>
      <c r="D334" s="7"/>
      <c r="E334" s="6"/>
      <c r="F334" s="5"/>
      <c r="I334" s="6"/>
      <c r="J334" s="6"/>
      <c r="K334" s="6"/>
    </row>
    <row r="335" spans="2:11" x14ac:dyDescent="0.3">
      <c r="B335" s="3"/>
      <c r="C335" s="7"/>
      <c r="D335" s="7"/>
      <c r="E335" s="6"/>
      <c r="F335" s="5"/>
      <c r="I335" s="6"/>
      <c r="J335" s="6"/>
      <c r="K335" s="6"/>
    </row>
    <row r="336" spans="2:11" x14ac:dyDescent="0.3">
      <c r="B336" s="3"/>
      <c r="C336" s="7"/>
      <c r="D336" s="7"/>
      <c r="E336" s="6"/>
      <c r="F336" s="5"/>
      <c r="I336" s="6"/>
      <c r="J336" s="6"/>
      <c r="K336" s="6"/>
    </row>
    <row r="337" spans="2:11" x14ac:dyDescent="0.3">
      <c r="B337" s="3"/>
      <c r="C337" s="7"/>
      <c r="D337" s="7"/>
      <c r="E337" s="6"/>
      <c r="F337" s="5"/>
      <c r="I337" s="6"/>
      <c r="J337" s="6"/>
      <c r="K337" s="6"/>
    </row>
    <row r="338" spans="2:11" x14ac:dyDescent="0.3">
      <c r="B338" s="3"/>
      <c r="C338" s="7"/>
      <c r="D338" s="7"/>
      <c r="E338" s="6"/>
      <c r="F338" s="5"/>
      <c r="I338" s="6"/>
      <c r="J338" s="6"/>
      <c r="K338" s="6"/>
    </row>
    <row r="339" spans="2:11" x14ac:dyDescent="0.3">
      <c r="B339" s="3"/>
      <c r="C339" s="7"/>
      <c r="D339" s="7"/>
      <c r="E339" s="6"/>
      <c r="F339" s="5"/>
      <c r="I339" s="6"/>
      <c r="J339" s="6"/>
      <c r="K339" s="6"/>
    </row>
    <row r="340" spans="2:11" x14ac:dyDescent="0.3">
      <c r="B340" s="3"/>
      <c r="C340" s="7"/>
      <c r="D340" s="7"/>
      <c r="E340" s="6"/>
      <c r="F340" s="5"/>
      <c r="I340" s="6"/>
      <c r="J340" s="6"/>
      <c r="K340" s="6"/>
    </row>
    <row r="341" spans="2:11" x14ac:dyDescent="0.3">
      <c r="B341" s="3"/>
      <c r="C341" s="7"/>
      <c r="D341" s="7"/>
      <c r="E341" s="6"/>
      <c r="F341" s="5"/>
      <c r="I341" s="6"/>
      <c r="J341" s="6"/>
      <c r="K341" s="6"/>
    </row>
    <row r="342" spans="2:11" x14ac:dyDescent="0.3">
      <c r="B342" s="3"/>
      <c r="C342" s="7"/>
      <c r="D342" s="7"/>
      <c r="E342" s="6"/>
      <c r="F342" s="5"/>
      <c r="I342" s="6"/>
      <c r="J342" s="6"/>
      <c r="K342" s="6"/>
    </row>
    <row r="343" spans="2:11" x14ac:dyDescent="0.3">
      <c r="B343" s="3"/>
      <c r="C343" s="7"/>
      <c r="D343" s="7"/>
      <c r="E343" s="6"/>
      <c r="F343" s="5"/>
      <c r="I343" s="6"/>
      <c r="J343" s="6"/>
      <c r="K343" s="6"/>
    </row>
    <row r="344" spans="2:11" x14ac:dyDescent="0.3">
      <c r="B344" s="3"/>
      <c r="C344" s="7"/>
      <c r="D344" s="7"/>
      <c r="E344" s="6"/>
      <c r="F344" s="5"/>
      <c r="I344" s="6"/>
      <c r="J344" s="6"/>
      <c r="K344" s="6"/>
    </row>
    <row r="345" spans="2:11" x14ac:dyDescent="0.3">
      <c r="B345" s="3"/>
      <c r="C345" s="7"/>
      <c r="D345" s="7"/>
      <c r="E345" s="6"/>
      <c r="F345" s="5"/>
      <c r="I345" s="6"/>
      <c r="J345" s="6"/>
      <c r="K345" s="6"/>
    </row>
    <row r="346" spans="2:11" x14ac:dyDescent="0.3">
      <c r="B346" s="3"/>
      <c r="C346" s="7"/>
      <c r="D346" s="7"/>
      <c r="E346" s="6"/>
      <c r="F346" s="5"/>
      <c r="I346" s="6"/>
      <c r="J346" s="6"/>
      <c r="K346" s="6"/>
    </row>
    <row r="347" spans="2:11" x14ac:dyDescent="0.3">
      <c r="B347" s="3"/>
      <c r="C347" s="7"/>
      <c r="D347" s="7"/>
      <c r="E347" s="6"/>
      <c r="F347" s="5"/>
      <c r="I347" s="6"/>
      <c r="J347" s="6"/>
      <c r="K347" s="6"/>
    </row>
    <row r="348" spans="2:11" x14ac:dyDescent="0.3">
      <c r="B348" s="3"/>
      <c r="C348" s="7"/>
      <c r="D348" s="7"/>
      <c r="E348" s="6"/>
      <c r="F348" s="5"/>
      <c r="I348" s="6"/>
      <c r="J348" s="6"/>
      <c r="K348" s="6"/>
    </row>
    <row r="349" spans="2:11" x14ac:dyDescent="0.3">
      <c r="B349" s="3"/>
      <c r="C349" s="7"/>
      <c r="D349" s="7"/>
      <c r="E349" s="6"/>
      <c r="F349" s="5"/>
      <c r="I349" s="6"/>
      <c r="J349" s="6"/>
      <c r="K349" s="6"/>
    </row>
    <row r="350" spans="2:11" x14ac:dyDescent="0.3">
      <c r="B350" s="3"/>
      <c r="C350" s="7"/>
      <c r="D350" s="7"/>
      <c r="E350" s="6"/>
      <c r="F350" s="5"/>
      <c r="I350" s="6"/>
      <c r="J350" s="6"/>
      <c r="K350" s="6"/>
    </row>
    <row r="351" spans="2:11" x14ac:dyDescent="0.3">
      <c r="B351" s="3"/>
      <c r="C351" s="7"/>
      <c r="D351" s="7"/>
      <c r="E351" s="6"/>
      <c r="F351" s="5"/>
      <c r="I351" s="6"/>
      <c r="J351" s="6"/>
      <c r="K351" s="6"/>
    </row>
    <row r="352" spans="2:11" x14ac:dyDescent="0.3">
      <c r="B352" s="3"/>
      <c r="C352" s="7"/>
      <c r="D352" s="7"/>
      <c r="E352" s="6"/>
      <c r="F352" s="5"/>
      <c r="I352" s="6"/>
      <c r="J352" s="6"/>
      <c r="K352" s="6"/>
    </row>
    <row r="353" spans="2:11" x14ac:dyDescent="0.3">
      <c r="B353" s="3"/>
      <c r="C353" s="7"/>
      <c r="D353" s="7"/>
      <c r="E353" s="6"/>
      <c r="F353" s="5"/>
      <c r="I353" s="6"/>
      <c r="J353" s="6"/>
      <c r="K353" s="6"/>
    </row>
    <row r="354" spans="2:11" x14ac:dyDescent="0.3">
      <c r="B354" s="3"/>
      <c r="C354" s="7"/>
      <c r="D354" s="7"/>
      <c r="E354" s="6"/>
      <c r="F354" s="5"/>
      <c r="I354" s="6"/>
      <c r="J354" s="6"/>
      <c r="K354" s="6"/>
    </row>
    <row r="355" spans="2:11" x14ac:dyDescent="0.3">
      <c r="B355" s="3"/>
      <c r="C355" s="7"/>
      <c r="D355" s="7"/>
      <c r="E355" s="6"/>
      <c r="F355" s="5"/>
      <c r="I355" s="6"/>
      <c r="J355" s="6"/>
      <c r="K355" s="6"/>
    </row>
    <row r="356" spans="2:11" x14ac:dyDescent="0.3">
      <c r="B356" s="3"/>
      <c r="C356" s="7"/>
      <c r="D356" s="7"/>
      <c r="E356" s="6"/>
      <c r="F356" s="5"/>
      <c r="I356" s="6"/>
      <c r="J356" s="6"/>
      <c r="K356" s="6"/>
    </row>
    <row r="357" spans="2:11" x14ac:dyDescent="0.3">
      <c r="B357" s="3"/>
      <c r="C357" s="7"/>
      <c r="D357" s="7"/>
      <c r="E357" s="6"/>
      <c r="F357" s="5"/>
      <c r="I357" s="6"/>
      <c r="J357" s="6"/>
      <c r="K357" s="6"/>
    </row>
    <row r="358" spans="2:11" x14ac:dyDescent="0.3">
      <c r="B358" s="3"/>
      <c r="C358" s="7"/>
      <c r="D358" s="7"/>
      <c r="E358" s="6"/>
      <c r="F358" s="5"/>
      <c r="I358" s="6"/>
      <c r="J358" s="6"/>
      <c r="K358" s="6"/>
    </row>
    <row r="359" spans="2:11" x14ac:dyDescent="0.3">
      <c r="B359" s="3"/>
      <c r="C359" s="7"/>
      <c r="D359" s="7"/>
      <c r="E359" s="6"/>
      <c r="F359" s="5"/>
      <c r="I359" s="6"/>
      <c r="J359" s="6"/>
      <c r="K359" s="6"/>
    </row>
    <row r="360" spans="2:11" x14ac:dyDescent="0.3">
      <c r="B360" s="3"/>
      <c r="C360" s="7"/>
      <c r="D360" s="7"/>
      <c r="E360" s="6"/>
      <c r="F360" s="5"/>
      <c r="I360" s="6"/>
      <c r="J360" s="6"/>
      <c r="K360" s="6"/>
    </row>
    <row r="361" spans="2:11" x14ac:dyDescent="0.3">
      <c r="B361" s="3"/>
      <c r="C361" s="7"/>
      <c r="D361" s="7"/>
      <c r="E361" s="6"/>
      <c r="F361" s="5"/>
      <c r="I361" s="6"/>
      <c r="J361" s="6"/>
      <c r="K361" s="6"/>
    </row>
    <row r="362" spans="2:11" x14ac:dyDescent="0.3">
      <c r="B362" s="3"/>
      <c r="C362" s="7"/>
      <c r="D362" s="7"/>
      <c r="E362" s="6"/>
      <c r="F362" s="5"/>
      <c r="I362" s="6"/>
      <c r="J362" s="6"/>
      <c r="K362" s="6"/>
    </row>
    <row r="363" spans="2:11" x14ac:dyDescent="0.3">
      <c r="B363" s="3"/>
      <c r="C363" s="7"/>
      <c r="D363" s="7"/>
      <c r="E363" s="6"/>
      <c r="F363" s="5"/>
      <c r="I363" s="6"/>
      <c r="J363" s="6"/>
      <c r="K363" s="6"/>
    </row>
    <row r="364" spans="2:11" x14ac:dyDescent="0.3">
      <c r="B364" s="3"/>
      <c r="C364" s="7"/>
      <c r="D364" s="7"/>
      <c r="E364" s="6"/>
      <c r="F364" s="5"/>
      <c r="I364" s="6"/>
      <c r="J364" s="6"/>
      <c r="K364" s="6"/>
    </row>
    <row r="365" spans="2:11" x14ac:dyDescent="0.3">
      <c r="B365" s="3"/>
      <c r="C365" s="7"/>
      <c r="D365" s="7"/>
      <c r="E365" s="6"/>
      <c r="F365" s="5"/>
      <c r="I365" s="6"/>
      <c r="J365" s="6"/>
      <c r="K365" s="6"/>
    </row>
    <row r="366" spans="2:11" x14ac:dyDescent="0.3">
      <c r="B366" s="3"/>
      <c r="C366" s="7"/>
      <c r="D366" s="7"/>
      <c r="E366" s="6"/>
      <c r="F366" s="5"/>
      <c r="I366" s="6"/>
      <c r="J366" s="6"/>
      <c r="K366" s="6"/>
    </row>
    <row r="367" spans="2:11" x14ac:dyDescent="0.3">
      <c r="B367" s="3"/>
      <c r="C367" s="7"/>
      <c r="D367" s="7"/>
      <c r="E367" s="6"/>
      <c r="F367" s="5"/>
      <c r="I367" s="6"/>
      <c r="J367" s="6"/>
      <c r="K367" s="6"/>
    </row>
    <row r="368" spans="2:11" x14ac:dyDescent="0.3">
      <c r="B368" s="3"/>
      <c r="C368" s="7"/>
      <c r="D368" s="7"/>
      <c r="E368" s="6"/>
      <c r="F368" s="5"/>
      <c r="I368" s="6"/>
      <c r="J368" s="6"/>
      <c r="K368" s="6"/>
    </row>
    <row r="369" spans="2:11" x14ac:dyDescent="0.3">
      <c r="B369" s="3"/>
      <c r="C369" s="7"/>
      <c r="D369" s="7"/>
      <c r="E369" s="6"/>
      <c r="F369" s="5"/>
      <c r="I369" s="6"/>
      <c r="J369" s="6"/>
      <c r="K369" s="6"/>
    </row>
    <row r="370" spans="2:11" x14ac:dyDescent="0.3">
      <c r="B370" s="3"/>
      <c r="C370" s="7"/>
      <c r="D370" s="7"/>
      <c r="E370" s="6"/>
      <c r="F370" s="5"/>
      <c r="I370" s="6"/>
      <c r="J370" s="6"/>
      <c r="K370" s="6"/>
    </row>
    <row r="371" spans="2:11" x14ac:dyDescent="0.3">
      <c r="B371" s="3"/>
      <c r="C371" s="7"/>
      <c r="D371" s="7"/>
      <c r="E371" s="6"/>
      <c r="F371" s="5"/>
      <c r="I371" s="6"/>
      <c r="J371" s="6"/>
      <c r="K371" s="6"/>
    </row>
    <row r="372" spans="2:11" x14ac:dyDescent="0.3">
      <c r="B372" s="3"/>
      <c r="C372" s="7"/>
      <c r="D372" s="7"/>
      <c r="E372" s="6"/>
      <c r="F372" s="5"/>
      <c r="I372" s="6"/>
      <c r="J372" s="6"/>
      <c r="K372" s="6"/>
    </row>
    <row r="373" spans="2:11" x14ac:dyDescent="0.3">
      <c r="B373" s="3"/>
      <c r="C373" s="7"/>
      <c r="D373" s="7"/>
      <c r="E373" s="6"/>
      <c r="F373" s="5"/>
      <c r="I373" s="6"/>
      <c r="J373" s="6"/>
      <c r="K373" s="6"/>
    </row>
    <row r="374" spans="2:11" x14ac:dyDescent="0.3">
      <c r="B374" s="3"/>
      <c r="C374" s="7"/>
      <c r="D374" s="7"/>
      <c r="E374" s="6"/>
      <c r="F374" s="5"/>
      <c r="I374" s="6"/>
      <c r="J374" s="6"/>
      <c r="K374" s="6"/>
    </row>
    <row r="375" spans="2:11" x14ac:dyDescent="0.3">
      <c r="B375" s="3"/>
      <c r="C375" s="7"/>
      <c r="D375" s="7"/>
      <c r="E375" s="6"/>
      <c r="F375" s="5"/>
      <c r="I375" s="6"/>
      <c r="J375" s="6"/>
      <c r="K375" s="6"/>
    </row>
    <row r="376" spans="2:11" x14ac:dyDescent="0.3">
      <c r="B376" s="3"/>
      <c r="C376" s="7"/>
      <c r="D376" s="7"/>
      <c r="E376" s="6"/>
      <c r="F376" s="5"/>
      <c r="I376" s="6"/>
      <c r="J376" s="6"/>
      <c r="K376" s="6"/>
    </row>
    <row r="377" spans="2:11" x14ac:dyDescent="0.3">
      <c r="B377" s="3"/>
      <c r="C377" s="7"/>
      <c r="D377" s="7"/>
      <c r="E377" s="6"/>
      <c r="F377" s="5"/>
      <c r="I377" s="6"/>
      <c r="J377" s="6"/>
      <c r="K377" s="6"/>
    </row>
    <row r="378" spans="2:11" x14ac:dyDescent="0.3">
      <c r="B378" s="3"/>
      <c r="C378" s="7"/>
      <c r="D378" s="7"/>
      <c r="E378" s="6"/>
      <c r="F378" s="5"/>
      <c r="I378" s="6"/>
      <c r="J378" s="6"/>
      <c r="K378" s="6"/>
    </row>
    <row r="379" spans="2:11" x14ac:dyDescent="0.3">
      <c r="B379" s="3"/>
      <c r="C379" s="7"/>
      <c r="D379" s="7"/>
      <c r="E379" s="6"/>
      <c r="F379" s="5"/>
      <c r="I379" s="6"/>
      <c r="J379" s="6"/>
      <c r="K379" s="6"/>
    </row>
    <row r="380" spans="2:11" x14ac:dyDescent="0.3">
      <c r="B380" s="3"/>
      <c r="C380" s="7"/>
      <c r="D380" s="7"/>
      <c r="E380" s="6"/>
      <c r="F380" s="5"/>
      <c r="I380" s="6"/>
      <c r="J380" s="6"/>
      <c r="K380" s="6"/>
    </row>
    <row r="381" spans="2:11" x14ac:dyDescent="0.3">
      <c r="B381" s="3"/>
      <c r="C381" s="7"/>
      <c r="D381" s="7"/>
      <c r="E381" s="6"/>
      <c r="F381" s="5"/>
      <c r="I381" s="6"/>
      <c r="J381" s="6"/>
      <c r="K381" s="6"/>
    </row>
    <row r="382" spans="2:11" x14ac:dyDescent="0.3">
      <c r="B382" s="3"/>
      <c r="C382" s="7"/>
      <c r="D382" s="7"/>
      <c r="E382" s="6"/>
      <c r="F382" s="5"/>
      <c r="I382" s="6"/>
      <c r="J382" s="6"/>
      <c r="K382" s="6"/>
    </row>
    <row r="383" spans="2:11" x14ac:dyDescent="0.3">
      <c r="B383" s="3"/>
      <c r="C383" s="7"/>
      <c r="D383" s="7"/>
      <c r="E383" s="6"/>
      <c r="F383" s="5"/>
      <c r="I383" s="6"/>
      <c r="J383" s="6"/>
      <c r="K383" s="6"/>
    </row>
    <row r="384" spans="2:11" x14ac:dyDescent="0.3">
      <c r="B384" s="3"/>
      <c r="C384" s="7"/>
      <c r="D384" s="7"/>
      <c r="E384" s="6"/>
      <c r="F384" s="5"/>
      <c r="I384" s="6"/>
      <c r="J384" s="6"/>
      <c r="K384" s="6"/>
    </row>
    <row r="385" spans="2:11" x14ac:dyDescent="0.3">
      <c r="B385" s="3"/>
      <c r="C385" s="7"/>
      <c r="D385" s="7"/>
      <c r="E385" s="6"/>
      <c r="F385" s="5"/>
      <c r="I385" s="6"/>
      <c r="J385" s="6"/>
      <c r="K385" s="6"/>
    </row>
    <row r="386" spans="2:11" x14ac:dyDescent="0.3">
      <c r="B386" s="3"/>
      <c r="C386" s="7"/>
      <c r="D386" s="7"/>
      <c r="E386" s="6"/>
      <c r="F386" s="5"/>
      <c r="I386" s="6"/>
      <c r="J386" s="6"/>
      <c r="K386" s="6"/>
    </row>
    <row r="387" spans="2:11" x14ac:dyDescent="0.3">
      <c r="B387" s="3"/>
      <c r="C387" s="7"/>
      <c r="D387" s="7"/>
      <c r="E387" s="6"/>
      <c r="F387" s="5"/>
      <c r="I387" s="6"/>
      <c r="J387" s="6"/>
      <c r="K387" s="6"/>
    </row>
    <row r="388" spans="2:11" x14ac:dyDescent="0.3">
      <c r="B388" s="3"/>
      <c r="C388" s="7"/>
      <c r="D388" s="7"/>
      <c r="E388" s="6"/>
      <c r="F388" s="5"/>
      <c r="I388" s="6"/>
      <c r="J388" s="6"/>
      <c r="K388" s="6"/>
    </row>
    <row r="389" spans="2:11" x14ac:dyDescent="0.3">
      <c r="B389" s="3"/>
      <c r="C389" s="7"/>
      <c r="D389" s="7"/>
      <c r="E389" s="6"/>
      <c r="F389" s="5"/>
      <c r="I389" s="6"/>
      <c r="J389" s="6"/>
      <c r="K389" s="6"/>
    </row>
    <row r="390" spans="2:11" x14ac:dyDescent="0.3">
      <c r="B390" s="3"/>
      <c r="C390" s="7"/>
      <c r="D390" s="7"/>
      <c r="E390" s="6"/>
      <c r="F390" s="5"/>
      <c r="I390" s="6"/>
      <c r="J390" s="6"/>
      <c r="K390" s="6"/>
    </row>
    <row r="391" spans="2:11" x14ac:dyDescent="0.3">
      <c r="B391" s="3"/>
      <c r="C391" s="7"/>
      <c r="D391" s="7"/>
      <c r="E391" s="6"/>
      <c r="F391" s="5"/>
      <c r="I391" s="6"/>
      <c r="J391" s="6"/>
      <c r="K391" s="6"/>
    </row>
    <row r="392" spans="2:11" x14ac:dyDescent="0.3">
      <c r="B392" s="3"/>
      <c r="C392" s="7"/>
      <c r="D392" s="7"/>
      <c r="E392" s="6"/>
      <c r="F392" s="5"/>
      <c r="I392" s="6"/>
      <c r="J392" s="6"/>
      <c r="K392" s="6"/>
    </row>
    <row r="393" spans="2:11" x14ac:dyDescent="0.3">
      <c r="B393" s="3"/>
      <c r="C393" s="7"/>
      <c r="D393" s="7"/>
      <c r="E393" s="6"/>
      <c r="F393" s="5"/>
      <c r="I393" s="6"/>
      <c r="J393" s="6"/>
      <c r="K393" s="6"/>
    </row>
    <row r="394" spans="2:11" x14ac:dyDescent="0.3">
      <c r="B394" s="3"/>
      <c r="C394" s="7"/>
      <c r="D394" s="7"/>
      <c r="E394" s="6"/>
      <c r="F394" s="5"/>
      <c r="I394" s="6"/>
      <c r="J394" s="6"/>
      <c r="K394" s="6"/>
    </row>
    <row r="395" spans="2:11" x14ac:dyDescent="0.3">
      <c r="B395" s="3"/>
      <c r="C395" s="7"/>
      <c r="D395" s="7"/>
      <c r="E395" s="6"/>
      <c r="F395" s="5"/>
      <c r="I395" s="6"/>
      <c r="J395" s="6"/>
      <c r="K395" s="6"/>
    </row>
    <row r="396" spans="2:11" x14ac:dyDescent="0.3">
      <c r="B396" s="3"/>
      <c r="C396" s="7"/>
      <c r="D396" s="7"/>
      <c r="E396" s="6"/>
      <c r="F396" s="5"/>
      <c r="I396" s="6"/>
      <c r="J396" s="6"/>
      <c r="K396" s="6"/>
    </row>
    <row r="397" spans="2:11" x14ac:dyDescent="0.3">
      <c r="B397" s="3"/>
      <c r="C397" s="7"/>
      <c r="D397" s="7"/>
      <c r="E397" s="6"/>
      <c r="F397" s="5"/>
      <c r="I397" s="6"/>
      <c r="J397" s="6"/>
      <c r="K397" s="6"/>
    </row>
    <row r="398" spans="2:11" x14ac:dyDescent="0.3">
      <c r="B398" s="3"/>
      <c r="C398" s="7"/>
      <c r="D398" s="7"/>
      <c r="E398" s="6"/>
      <c r="F398" s="5"/>
      <c r="I398" s="6"/>
      <c r="J398" s="6"/>
      <c r="K398" s="6"/>
    </row>
    <row r="399" spans="2:11" x14ac:dyDescent="0.3">
      <c r="B399" s="3"/>
      <c r="C399" s="7"/>
      <c r="D399" s="7"/>
      <c r="E399" s="6"/>
      <c r="F399" s="5"/>
      <c r="I399" s="6"/>
      <c r="J399" s="6"/>
      <c r="K399" s="6"/>
    </row>
    <row r="400" spans="2:11" x14ac:dyDescent="0.3">
      <c r="B400" s="3"/>
      <c r="C400" s="7"/>
      <c r="D400" s="7"/>
      <c r="E400" s="6"/>
      <c r="F400" s="5"/>
      <c r="I400" s="6"/>
      <c r="J400" s="6"/>
      <c r="K400" s="6"/>
    </row>
    <row r="401" spans="2:11" x14ac:dyDescent="0.3">
      <c r="B401" s="3"/>
      <c r="C401" s="7"/>
      <c r="D401" s="7"/>
      <c r="E401" s="6"/>
      <c r="F401" s="5"/>
      <c r="I401" s="6"/>
      <c r="J401" s="6"/>
      <c r="K401" s="6"/>
    </row>
    <row r="402" spans="2:11" x14ac:dyDescent="0.3">
      <c r="B402" s="3"/>
      <c r="C402" s="7"/>
      <c r="D402" s="7"/>
      <c r="E402" s="6"/>
      <c r="F402" s="5"/>
      <c r="I402" s="6"/>
      <c r="J402" s="6"/>
      <c r="K402" s="6"/>
    </row>
    <row r="403" spans="2:11" x14ac:dyDescent="0.3">
      <c r="B403" s="3"/>
      <c r="C403" s="7"/>
      <c r="D403" s="7"/>
      <c r="E403" s="6"/>
      <c r="F403" s="5"/>
      <c r="I403" s="6"/>
      <c r="J403" s="6"/>
      <c r="K403" s="6"/>
    </row>
    <row r="404" spans="2:11" x14ac:dyDescent="0.3">
      <c r="B404" s="3"/>
      <c r="C404" s="7"/>
      <c r="D404" s="7"/>
      <c r="E404" s="6"/>
      <c r="F404" s="5"/>
      <c r="I404" s="6"/>
      <c r="J404" s="6"/>
      <c r="K404" s="6"/>
    </row>
    <row r="405" spans="2:11" x14ac:dyDescent="0.3">
      <c r="B405" s="3"/>
      <c r="C405" s="7"/>
      <c r="D405" s="7"/>
      <c r="E405" s="6"/>
      <c r="F405" s="5"/>
      <c r="I405" s="6"/>
      <c r="J405" s="6"/>
      <c r="K405" s="6"/>
    </row>
    <row r="406" spans="2:11" x14ac:dyDescent="0.3">
      <c r="B406" s="3"/>
      <c r="C406" s="7"/>
      <c r="D406" s="7"/>
      <c r="E406" s="6"/>
      <c r="F406" s="5"/>
      <c r="I406" s="6"/>
      <c r="J406" s="6"/>
      <c r="K406" s="6"/>
    </row>
    <row r="407" spans="2:11" x14ac:dyDescent="0.3">
      <c r="B407" s="3"/>
      <c r="C407" s="7"/>
      <c r="D407" s="7"/>
      <c r="E407" s="6"/>
      <c r="F407" s="5"/>
      <c r="I407" s="6"/>
      <c r="J407" s="6"/>
      <c r="K407" s="6"/>
    </row>
    <row r="408" spans="2:11" x14ac:dyDescent="0.3">
      <c r="B408" s="3"/>
      <c r="C408" s="7"/>
      <c r="D408" s="7"/>
      <c r="E408" s="6"/>
      <c r="F408" s="5"/>
      <c r="I408" s="6"/>
      <c r="J408" s="6"/>
      <c r="K408" s="6"/>
    </row>
    <row r="409" spans="2:11" x14ac:dyDescent="0.3">
      <c r="B409" s="3"/>
      <c r="C409" s="7"/>
      <c r="D409" s="7"/>
      <c r="E409" s="6"/>
      <c r="F409" s="5"/>
      <c r="I409" s="6"/>
      <c r="J409" s="6"/>
      <c r="K409" s="6"/>
    </row>
    <row r="410" spans="2:11" x14ac:dyDescent="0.3">
      <c r="B410" s="3"/>
      <c r="C410" s="7"/>
      <c r="D410" s="7"/>
      <c r="E410" s="6"/>
      <c r="F410" s="5"/>
      <c r="I410" s="6"/>
      <c r="J410" s="6"/>
      <c r="K410" s="6"/>
    </row>
    <row r="411" spans="2:11" x14ac:dyDescent="0.3">
      <c r="B411" s="3"/>
      <c r="C411" s="7"/>
      <c r="D411" s="7"/>
      <c r="E411" s="6"/>
      <c r="F411" s="5"/>
      <c r="I411" s="6"/>
      <c r="J411" s="6"/>
      <c r="K411" s="6"/>
    </row>
    <row r="412" spans="2:11" x14ac:dyDescent="0.3">
      <c r="B412" s="3"/>
      <c r="C412" s="7"/>
      <c r="D412" s="7"/>
      <c r="E412" s="6"/>
      <c r="F412" s="5"/>
      <c r="I412" s="6"/>
      <c r="J412" s="6"/>
      <c r="K412" s="6"/>
    </row>
    <row r="413" spans="2:11" x14ac:dyDescent="0.3">
      <c r="B413" s="3"/>
      <c r="C413" s="7"/>
      <c r="D413" s="7"/>
      <c r="E413" s="6"/>
      <c r="F413" s="5"/>
      <c r="I413" s="6"/>
      <c r="J413" s="6"/>
      <c r="K413" s="6"/>
    </row>
    <row r="414" spans="2:11" x14ac:dyDescent="0.3">
      <c r="B414" s="3"/>
      <c r="C414" s="7"/>
      <c r="D414" s="7"/>
      <c r="E414" s="6"/>
      <c r="F414" s="5"/>
      <c r="I414" s="6"/>
      <c r="J414" s="6"/>
      <c r="K414" s="6"/>
    </row>
    <row r="415" spans="2:11" x14ac:dyDescent="0.3">
      <c r="B415" s="3"/>
      <c r="C415" s="7"/>
      <c r="D415" s="7"/>
      <c r="E415" s="6"/>
      <c r="F415" s="5"/>
      <c r="I415" s="6"/>
      <c r="J415" s="6"/>
      <c r="K415" s="6"/>
    </row>
    <row r="416" spans="2:11" x14ac:dyDescent="0.3">
      <c r="B416" s="3"/>
      <c r="C416" s="7"/>
      <c r="D416" s="7"/>
      <c r="E416" s="6"/>
      <c r="F416" s="5"/>
      <c r="I416" s="6"/>
      <c r="J416" s="6"/>
      <c r="K416" s="6"/>
    </row>
    <row r="417" spans="2:11" x14ac:dyDescent="0.3">
      <c r="B417" s="3"/>
      <c r="C417" s="7"/>
      <c r="D417" s="7"/>
      <c r="E417" s="6"/>
      <c r="F417" s="5"/>
      <c r="I417" s="6"/>
      <c r="J417" s="6"/>
      <c r="K417" s="6"/>
    </row>
    <row r="418" spans="2:11" x14ac:dyDescent="0.3">
      <c r="B418" s="3"/>
      <c r="C418" s="7"/>
      <c r="D418" s="7"/>
      <c r="E418" s="6"/>
      <c r="F418" s="5"/>
      <c r="I418" s="6"/>
      <c r="J418" s="6"/>
      <c r="K418" s="6"/>
    </row>
    <row r="419" spans="2:11" x14ac:dyDescent="0.3">
      <c r="B419" s="3"/>
      <c r="C419" s="7"/>
      <c r="D419" s="7"/>
      <c r="E419" s="6"/>
      <c r="F419" s="5"/>
      <c r="I419" s="6"/>
      <c r="J419" s="6"/>
      <c r="K419" s="6"/>
    </row>
    <row r="420" spans="2:11" x14ac:dyDescent="0.3">
      <c r="B420" s="3"/>
      <c r="C420" s="7"/>
      <c r="D420" s="7"/>
      <c r="E420" s="6"/>
      <c r="F420" s="5"/>
      <c r="I420" s="6"/>
      <c r="J420" s="6"/>
      <c r="K420" s="6"/>
    </row>
    <row r="421" spans="2:11" x14ac:dyDescent="0.3">
      <c r="B421" s="3"/>
      <c r="C421" s="7"/>
      <c r="D421" s="7"/>
      <c r="E421" s="6"/>
      <c r="F421" s="5"/>
      <c r="I421" s="6"/>
      <c r="J421" s="6"/>
      <c r="K421" s="6"/>
    </row>
    <row r="422" spans="2:11" x14ac:dyDescent="0.3">
      <c r="B422" s="3"/>
      <c r="C422" s="7"/>
      <c r="D422" s="7"/>
      <c r="E422" s="6"/>
      <c r="F422" s="5"/>
      <c r="I422" s="6"/>
      <c r="J422" s="6"/>
      <c r="K422" s="6"/>
    </row>
    <row r="423" spans="2:11" x14ac:dyDescent="0.3">
      <c r="B423" s="3"/>
      <c r="C423" s="7"/>
      <c r="D423" s="7"/>
      <c r="E423" s="6"/>
      <c r="F423" s="5"/>
      <c r="I423" s="6"/>
      <c r="J423" s="6"/>
      <c r="K423" s="6"/>
    </row>
    <row r="424" spans="2:11" x14ac:dyDescent="0.3">
      <c r="B424" s="3"/>
      <c r="C424" s="7"/>
      <c r="D424" s="7"/>
      <c r="E424" s="6"/>
      <c r="F424" s="5"/>
      <c r="I424" s="6"/>
      <c r="J424" s="6"/>
      <c r="K424" s="6"/>
    </row>
    <row r="425" spans="2:11" x14ac:dyDescent="0.3">
      <c r="B425" s="3"/>
      <c r="C425" s="7"/>
      <c r="D425" s="7"/>
      <c r="E425" s="6"/>
      <c r="F425" s="5"/>
      <c r="I425" s="6"/>
      <c r="J425" s="6"/>
      <c r="K425" s="6"/>
    </row>
    <row r="426" spans="2:11" x14ac:dyDescent="0.3">
      <c r="B426" s="3"/>
      <c r="C426" s="7"/>
      <c r="D426" s="7"/>
      <c r="E426" s="6"/>
      <c r="F426" s="5"/>
      <c r="I426" s="6"/>
      <c r="J426" s="6"/>
      <c r="K426" s="6"/>
    </row>
    <row r="427" spans="2:11" x14ac:dyDescent="0.3">
      <c r="B427" s="3"/>
      <c r="C427" s="7"/>
      <c r="D427" s="7"/>
      <c r="E427" s="6"/>
      <c r="F427" s="5"/>
      <c r="I427" s="6"/>
      <c r="J427" s="6"/>
      <c r="K427" s="6"/>
    </row>
    <row r="428" spans="2:11" x14ac:dyDescent="0.3">
      <c r="B428" s="3"/>
      <c r="C428" s="7"/>
      <c r="D428" s="7"/>
      <c r="E428" s="6"/>
      <c r="F428" s="5"/>
      <c r="I428" s="6"/>
      <c r="J428" s="6"/>
      <c r="K428" s="6"/>
    </row>
    <row r="429" spans="2:11" x14ac:dyDescent="0.3">
      <c r="B429" s="3"/>
      <c r="C429" s="7"/>
      <c r="D429" s="7"/>
      <c r="E429" s="6"/>
      <c r="F429" s="5"/>
      <c r="I429" s="6"/>
      <c r="J429" s="6"/>
      <c r="K429" s="6"/>
    </row>
    <row r="430" spans="2:11" x14ac:dyDescent="0.3">
      <c r="B430" s="3"/>
      <c r="C430" s="7"/>
      <c r="D430" s="7"/>
      <c r="E430" s="6"/>
      <c r="F430" s="5"/>
      <c r="I430" s="6"/>
      <c r="J430" s="6"/>
      <c r="K430" s="6"/>
    </row>
    <row r="431" spans="2:11" x14ac:dyDescent="0.3">
      <c r="B431" s="3"/>
      <c r="C431" s="7"/>
      <c r="D431" s="7"/>
      <c r="E431" s="6"/>
      <c r="F431" s="5"/>
      <c r="I431" s="6"/>
      <c r="J431" s="6"/>
      <c r="K431" s="6"/>
    </row>
    <row r="432" spans="2:11" x14ac:dyDescent="0.3">
      <c r="B432" s="3"/>
      <c r="C432" s="7"/>
      <c r="D432" s="7"/>
      <c r="E432" s="6"/>
      <c r="F432" s="5"/>
      <c r="I432" s="6"/>
      <c r="J432" s="6"/>
      <c r="K432" s="6"/>
    </row>
    <row r="433" spans="2:11" x14ac:dyDescent="0.3">
      <c r="B433" s="3"/>
      <c r="C433" s="7"/>
      <c r="D433" s="7"/>
      <c r="E433" s="6"/>
      <c r="F433" s="5"/>
      <c r="I433" s="6"/>
      <c r="J433" s="6"/>
      <c r="K433" s="6"/>
    </row>
    <row r="434" spans="2:11" x14ac:dyDescent="0.3">
      <c r="B434" s="3"/>
      <c r="C434" s="7"/>
      <c r="D434" s="7"/>
      <c r="E434" s="6"/>
      <c r="F434" s="5"/>
      <c r="I434" s="6"/>
      <c r="J434" s="6"/>
      <c r="K434" s="6"/>
    </row>
    <row r="435" spans="2:11" x14ac:dyDescent="0.3">
      <c r="B435" s="3"/>
      <c r="C435" s="7"/>
      <c r="D435" s="7"/>
      <c r="E435" s="6"/>
      <c r="F435" s="5"/>
      <c r="I435" s="6"/>
      <c r="J435" s="6"/>
      <c r="K435" s="6"/>
    </row>
    <row r="436" spans="2:11" x14ac:dyDescent="0.3">
      <c r="B436" s="3"/>
      <c r="C436" s="7"/>
      <c r="D436" s="7"/>
      <c r="E436" s="6"/>
      <c r="F436" s="5"/>
      <c r="I436" s="6"/>
      <c r="J436" s="6"/>
      <c r="K436" s="6"/>
    </row>
    <row r="437" spans="2:11" x14ac:dyDescent="0.3">
      <c r="B437" s="3"/>
      <c r="C437" s="7"/>
      <c r="D437" s="7"/>
      <c r="E437" s="6"/>
      <c r="F437" s="5"/>
      <c r="I437" s="6"/>
      <c r="J437" s="6"/>
      <c r="K437" s="6"/>
    </row>
    <row r="438" spans="2:11" x14ac:dyDescent="0.3">
      <c r="B438" s="3"/>
      <c r="C438" s="7"/>
      <c r="D438" s="7"/>
      <c r="E438" s="6"/>
      <c r="F438" s="5"/>
      <c r="I438" s="6"/>
      <c r="J438" s="6"/>
      <c r="K438" s="6"/>
    </row>
    <row r="439" spans="2:11" x14ac:dyDescent="0.3">
      <c r="B439" s="3"/>
      <c r="C439" s="7"/>
      <c r="D439" s="7"/>
      <c r="E439" s="6"/>
      <c r="F439" s="5"/>
      <c r="I439" s="6"/>
      <c r="J439" s="6"/>
      <c r="K439" s="6"/>
    </row>
    <row r="440" spans="2:11" x14ac:dyDescent="0.3">
      <c r="B440" s="3"/>
      <c r="C440" s="7"/>
      <c r="D440" s="7"/>
      <c r="E440" s="6"/>
      <c r="F440" s="5"/>
      <c r="I440" s="6"/>
      <c r="J440" s="6"/>
      <c r="K440" s="6"/>
    </row>
    <row r="441" spans="2:11" x14ac:dyDescent="0.3">
      <c r="B441" s="3"/>
      <c r="C441" s="7"/>
      <c r="D441" s="7"/>
      <c r="E441" s="6"/>
      <c r="F441" s="5"/>
      <c r="I441" s="6"/>
      <c r="J441" s="6"/>
      <c r="K441" s="6"/>
    </row>
    <row r="442" spans="2:11" x14ac:dyDescent="0.3">
      <c r="B442" s="3"/>
      <c r="C442" s="7"/>
      <c r="D442" s="7"/>
      <c r="E442" s="6"/>
      <c r="F442" s="5"/>
      <c r="I442" s="6"/>
      <c r="J442" s="6"/>
      <c r="K442" s="6"/>
    </row>
    <row r="443" spans="2:11" x14ac:dyDescent="0.3">
      <c r="B443" s="3"/>
      <c r="C443" s="7"/>
      <c r="D443" s="7"/>
      <c r="E443" s="6"/>
      <c r="F443" s="5"/>
      <c r="I443" s="6"/>
      <c r="J443" s="6"/>
      <c r="K443" s="6"/>
    </row>
    <row r="444" spans="2:11" x14ac:dyDescent="0.3">
      <c r="B444" s="3"/>
      <c r="C444" s="7"/>
      <c r="D444" s="7"/>
      <c r="E444" s="6"/>
      <c r="F444" s="5"/>
      <c r="I444" s="6"/>
      <c r="J444" s="6"/>
      <c r="K444" s="6"/>
    </row>
    <row r="445" spans="2:11" x14ac:dyDescent="0.3">
      <c r="B445" s="3"/>
      <c r="C445" s="7"/>
      <c r="D445" s="7"/>
      <c r="E445" s="6"/>
      <c r="F445" s="5"/>
      <c r="I445" s="6"/>
      <c r="J445" s="6"/>
      <c r="K445" s="6"/>
    </row>
    <row r="446" spans="2:11" x14ac:dyDescent="0.3">
      <c r="B446" s="3"/>
      <c r="C446" s="7"/>
      <c r="D446" s="7"/>
      <c r="E446" s="6"/>
      <c r="F446" s="5"/>
      <c r="I446" s="6"/>
      <c r="J446" s="6"/>
      <c r="K446" s="6"/>
    </row>
    <row r="447" spans="2:11" x14ac:dyDescent="0.3">
      <c r="B447" s="3"/>
      <c r="C447" s="7"/>
      <c r="D447" s="7"/>
      <c r="E447" s="6"/>
      <c r="F447" s="5"/>
      <c r="I447" s="6"/>
      <c r="J447" s="6"/>
      <c r="K447" s="6"/>
    </row>
    <row r="448" spans="2:11" x14ac:dyDescent="0.3">
      <c r="B448" s="3"/>
      <c r="C448" s="7"/>
      <c r="D448" s="7"/>
      <c r="E448" s="6"/>
      <c r="F448" s="5"/>
      <c r="I448" s="6"/>
      <c r="J448" s="6"/>
      <c r="K448" s="6"/>
    </row>
    <row r="449" spans="2:11" x14ac:dyDescent="0.3">
      <c r="B449" s="3"/>
      <c r="C449" s="7"/>
      <c r="D449" s="7"/>
      <c r="E449" s="6"/>
      <c r="F449" s="5"/>
      <c r="I449" s="6"/>
      <c r="J449" s="6"/>
      <c r="K449" s="6"/>
    </row>
    <row r="450" spans="2:11" x14ac:dyDescent="0.3">
      <c r="B450" s="3"/>
      <c r="C450" s="7"/>
      <c r="D450" s="7"/>
      <c r="E450" s="6"/>
      <c r="F450" s="5"/>
      <c r="I450" s="6"/>
      <c r="J450" s="6"/>
      <c r="K450" s="6"/>
    </row>
    <row r="451" spans="2:11" x14ac:dyDescent="0.3">
      <c r="B451" s="3"/>
      <c r="C451" s="7"/>
      <c r="D451" s="7"/>
      <c r="E451" s="6"/>
      <c r="F451" s="5"/>
      <c r="I451" s="6"/>
      <c r="J451" s="6"/>
      <c r="K451" s="6"/>
    </row>
    <row r="452" spans="2:11" x14ac:dyDescent="0.3">
      <c r="B452" s="3"/>
      <c r="C452" s="7"/>
      <c r="D452" s="7"/>
      <c r="E452" s="6"/>
      <c r="F452" s="5"/>
      <c r="I452" s="6"/>
      <c r="J452" s="6"/>
      <c r="K452" s="6"/>
    </row>
    <row r="453" spans="2:11" x14ac:dyDescent="0.3">
      <c r="B453" s="3"/>
      <c r="C453" s="7"/>
      <c r="D453" s="7"/>
      <c r="E453" s="6"/>
      <c r="F453" s="5"/>
      <c r="I453" s="6"/>
      <c r="J453" s="6"/>
      <c r="K453" s="6"/>
    </row>
    <row r="454" spans="2:11" x14ac:dyDescent="0.3">
      <c r="B454" s="3"/>
      <c r="C454" s="7"/>
      <c r="D454" s="7"/>
      <c r="E454" s="6"/>
      <c r="F454" s="5"/>
      <c r="I454" s="6"/>
      <c r="J454" s="6"/>
      <c r="K454" s="6"/>
    </row>
    <row r="455" spans="2:11" x14ac:dyDescent="0.3">
      <c r="B455" s="3"/>
      <c r="C455" s="7"/>
      <c r="D455" s="7"/>
      <c r="E455" s="6"/>
      <c r="F455" s="5"/>
      <c r="I455" s="6"/>
      <c r="J455" s="6"/>
      <c r="K455" s="6"/>
    </row>
    <row r="456" spans="2:11" x14ac:dyDescent="0.3">
      <c r="B456" s="3"/>
      <c r="C456" s="7"/>
      <c r="D456" s="7"/>
      <c r="E456" s="6"/>
      <c r="F456" s="5"/>
      <c r="I456" s="6"/>
      <c r="J456" s="6"/>
      <c r="K456" s="6"/>
    </row>
    <row r="457" spans="2:11" x14ac:dyDescent="0.3">
      <c r="B457" s="3"/>
      <c r="C457" s="7"/>
      <c r="D457" s="7"/>
      <c r="E457" s="6"/>
      <c r="F457" s="5"/>
      <c r="I457" s="6"/>
      <c r="J457" s="6"/>
      <c r="K457" s="6"/>
    </row>
    <row r="458" spans="2:11" x14ac:dyDescent="0.3">
      <c r="B458" s="3"/>
      <c r="C458" s="7"/>
      <c r="D458" s="7"/>
      <c r="E458" s="6"/>
      <c r="F458" s="5"/>
      <c r="I458" s="6"/>
      <c r="J458" s="6"/>
      <c r="K458" s="6"/>
    </row>
    <row r="459" spans="2:11" x14ac:dyDescent="0.3">
      <c r="B459" s="3"/>
      <c r="C459" s="7"/>
      <c r="D459" s="7"/>
      <c r="E459" s="6"/>
      <c r="F459" s="5"/>
      <c r="I459" s="6"/>
      <c r="J459" s="6"/>
      <c r="K459" s="6"/>
    </row>
    <row r="460" spans="2:11" x14ac:dyDescent="0.3">
      <c r="B460" s="3"/>
      <c r="C460" s="7"/>
      <c r="D460" s="7"/>
      <c r="E460" s="6"/>
      <c r="F460" s="5"/>
      <c r="I460" s="6"/>
      <c r="J460" s="6"/>
      <c r="K460" s="6"/>
    </row>
    <row r="461" spans="2:11" x14ac:dyDescent="0.3">
      <c r="B461" s="3"/>
      <c r="C461" s="7"/>
      <c r="D461" s="7"/>
      <c r="E461" s="6"/>
      <c r="F461" s="5"/>
      <c r="I461" s="6"/>
      <c r="J461" s="6"/>
      <c r="K461" s="6"/>
    </row>
    <row r="462" spans="2:11" x14ac:dyDescent="0.3">
      <c r="B462" s="3"/>
      <c r="C462" s="7"/>
      <c r="D462" s="7"/>
      <c r="E462" s="6"/>
      <c r="F462" s="5"/>
      <c r="I462" s="6"/>
      <c r="J462" s="6"/>
      <c r="K462" s="6"/>
    </row>
    <row r="463" spans="2:11" x14ac:dyDescent="0.3">
      <c r="B463" s="3"/>
      <c r="C463" s="7"/>
      <c r="D463" s="7"/>
      <c r="E463" s="6"/>
      <c r="F463" s="5"/>
      <c r="I463" s="6"/>
      <c r="J463" s="6"/>
      <c r="K463" s="6"/>
    </row>
    <row r="464" spans="2:11" x14ac:dyDescent="0.3">
      <c r="B464" s="3"/>
      <c r="C464" s="7"/>
      <c r="D464" s="7"/>
      <c r="E464" s="6"/>
      <c r="F464" s="5"/>
      <c r="I464" s="6"/>
      <c r="J464" s="6"/>
      <c r="K464" s="6"/>
    </row>
    <row r="465" spans="2:11" x14ac:dyDescent="0.3">
      <c r="B465" s="3"/>
      <c r="C465" s="7"/>
      <c r="D465" s="7"/>
      <c r="E465" s="6"/>
      <c r="F465" s="5"/>
      <c r="I465" s="6"/>
      <c r="J465" s="6"/>
      <c r="K465" s="6"/>
    </row>
    <row r="466" spans="2:11" x14ac:dyDescent="0.3">
      <c r="B466" s="3"/>
      <c r="C466" s="7"/>
      <c r="D466" s="7"/>
      <c r="E466" s="6"/>
      <c r="F466" s="5"/>
      <c r="I466" s="6"/>
      <c r="J466" s="6"/>
      <c r="K466" s="6"/>
    </row>
    <row r="467" spans="2:11" x14ac:dyDescent="0.3">
      <c r="B467" s="3"/>
      <c r="C467" s="7"/>
      <c r="D467" s="7"/>
      <c r="E467" s="6"/>
      <c r="F467" s="5"/>
      <c r="I467" s="6"/>
      <c r="J467" s="6"/>
      <c r="K467" s="6"/>
    </row>
    <row r="468" spans="2:11" x14ac:dyDescent="0.3">
      <c r="B468" s="3"/>
      <c r="C468" s="7"/>
      <c r="D468" s="7"/>
      <c r="E468" s="6"/>
      <c r="F468" s="5"/>
      <c r="I468" s="6"/>
      <c r="J468" s="6"/>
      <c r="K468" s="6"/>
    </row>
    <row r="469" spans="2:11" x14ac:dyDescent="0.3">
      <c r="B469" s="3"/>
      <c r="C469" s="7"/>
      <c r="D469" s="7"/>
      <c r="E469" s="6"/>
      <c r="F469" s="5"/>
      <c r="I469" s="6"/>
      <c r="J469" s="6"/>
      <c r="K469" s="6"/>
    </row>
    <row r="470" spans="2:11" x14ac:dyDescent="0.3">
      <c r="B470" s="3"/>
      <c r="C470" s="7"/>
      <c r="D470" s="7"/>
      <c r="E470" s="6"/>
      <c r="F470" s="5"/>
      <c r="I470" s="6"/>
      <c r="J470" s="6"/>
      <c r="K470" s="6"/>
    </row>
    <row r="471" spans="2:11" x14ac:dyDescent="0.3">
      <c r="B471" s="3"/>
      <c r="C471" s="7"/>
      <c r="D471" s="7"/>
      <c r="E471" s="6"/>
      <c r="F471" s="5"/>
      <c r="I471" s="6"/>
      <c r="J471" s="6"/>
      <c r="K471" s="6"/>
    </row>
    <row r="472" spans="2:11" x14ac:dyDescent="0.3">
      <c r="B472" s="3"/>
      <c r="C472" s="7"/>
      <c r="D472" s="7"/>
      <c r="E472" s="6"/>
      <c r="F472" s="5"/>
      <c r="I472" s="6"/>
      <c r="J472" s="6"/>
      <c r="K472" s="6"/>
    </row>
    <row r="473" spans="2:11" x14ac:dyDescent="0.3">
      <c r="B473" s="3"/>
      <c r="C473" s="7"/>
      <c r="D473" s="7"/>
      <c r="E473" s="6"/>
      <c r="F473" s="5"/>
      <c r="I473" s="6"/>
      <c r="J473" s="6"/>
      <c r="K473" s="6"/>
    </row>
    <row r="474" spans="2:11" x14ac:dyDescent="0.3">
      <c r="B474" s="3"/>
      <c r="C474" s="7"/>
      <c r="D474" s="7"/>
      <c r="E474" s="6"/>
      <c r="F474" s="5"/>
      <c r="I474" s="6"/>
      <c r="J474" s="6"/>
      <c r="K474" s="6"/>
    </row>
    <row r="475" spans="2:11" x14ac:dyDescent="0.3">
      <c r="B475" s="3"/>
      <c r="C475" s="7"/>
      <c r="D475" s="7"/>
      <c r="E475" s="6"/>
      <c r="F475" s="5"/>
      <c r="I475" s="6"/>
      <c r="J475" s="6"/>
      <c r="K475" s="6"/>
    </row>
    <row r="476" spans="2:11" x14ac:dyDescent="0.3">
      <c r="B476" s="3"/>
      <c r="C476" s="7"/>
      <c r="D476" s="7"/>
      <c r="E476" s="6"/>
      <c r="F476" s="5"/>
      <c r="I476" s="6"/>
      <c r="J476" s="6"/>
      <c r="K476" s="6"/>
    </row>
    <row r="477" spans="2:11" x14ac:dyDescent="0.3">
      <c r="B477" s="3"/>
      <c r="C477" s="7"/>
      <c r="D477" s="7"/>
      <c r="E477" s="6"/>
      <c r="F477" s="5"/>
      <c r="I477" s="6"/>
      <c r="J477" s="6"/>
      <c r="K477" s="6"/>
    </row>
    <row r="478" spans="2:11" x14ac:dyDescent="0.3">
      <c r="B478" s="3"/>
      <c r="C478" s="7"/>
      <c r="D478" s="7"/>
      <c r="E478" s="6"/>
      <c r="F478" s="5"/>
      <c r="I478" s="6"/>
      <c r="J478" s="6"/>
      <c r="K478" s="6"/>
    </row>
    <row r="479" spans="2:11" x14ac:dyDescent="0.3">
      <c r="B479" s="3"/>
      <c r="C479" s="7"/>
      <c r="D479" s="7"/>
      <c r="E479" s="6"/>
      <c r="F479" s="5"/>
      <c r="I479" s="6"/>
      <c r="J479" s="6"/>
      <c r="K479" s="6"/>
    </row>
    <row r="480" spans="2:11" x14ac:dyDescent="0.3">
      <c r="B480" s="3"/>
      <c r="C480" s="7"/>
      <c r="D480" s="7"/>
      <c r="E480" s="6"/>
      <c r="F480" s="5"/>
      <c r="I480" s="6"/>
      <c r="J480" s="6"/>
      <c r="K480" s="6"/>
    </row>
    <row r="481" spans="2:11" x14ac:dyDescent="0.3">
      <c r="B481" s="3"/>
      <c r="C481" s="7"/>
      <c r="D481" s="7"/>
      <c r="E481" s="6"/>
      <c r="F481" s="5"/>
      <c r="I481" s="6"/>
      <c r="J481" s="6"/>
      <c r="K481" s="6"/>
    </row>
    <row r="482" spans="2:11" x14ac:dyDescent="0.3">
      <c r="B482" s="3"/>
      <c r="C482" s="7"/>
      <c r="D482" s="7"/>
      <c r="E482" s="6"/>
      <c r="F482" s="5"/>
      <c r="I482" s="6"/>
      <c r="J482" s="6"/>
      <c r="K482" s="6"/>
    </row>
    <row r="483" spans="2:11" x14ac:dyDescent="0.3">
      <c r="B483" s="3"/>
      <c r="C483" s="7"/>
      <c r="D483" s="7"/>
      <c r="E483" s="6"/>
      <c r="F483" s="5"/>
      <c r="I483" s="6"/>
      <c r="J483" s="6"/>
      <c r="K483" s="6"/>
    </row>
    <row r="484" spans="2:11" x14ac:dyDescent="0.3">
      <c r="B484" s="3"/>
      <c r="C484" s="7"/>
      <c r="D484" s="7"/>
      <c r="E484" s="6"/>
      <c r="F484" s="5"/>
      <c r="I484" s="6"/>
      <c r="J484" s="6"/>
      <c r="K484" s="6"/>
    </row>
    <row r="485" spans="2:11" x14ac:dyDescent="0.3">
      <c r="B485" s="3"/>
      <c r="C485" s="7"/>
      <c r="D485" s="7"/>
      <c r="E485" s="6"/>
      <c r="F485" s="5"/>
      <c r="I485" s="6"/>
      <c r="J485" s="6"/>
      <c r="K485" s="6"/>
    </row>
    <row r="486" spans="2:11" x14ac:dyDescent="0.3">
      <c r="B486" s="3"/>
      <c r="C486" s="7"/>
      <c r="D486" s="7"/>
      <c r="E486" s="6"/>
      <c r="F486" s="5"/>
      <c r="I486" s="6"/>
      <c r="J486" s="6"/>
      <c r="K486" s="6"/>
    </row>
    <row r="487" spans="2:11" x14ac:dyDescent="0.3">
      <c r="B487" s="3"/>
      <c r="C487" s="7"/>
      <c r="D487" s="7"/>
      <c r="E487" s="6"/>
      <c r="F487" s="5"/>
      <c r="I487" s="6"/>
      <c r="J487" s="6"/>
      <c r="K487" s="6"/>
    </row>
    <row r="488" spans="2:11" x14ac:dyDescent="0.3">
      <c r="B488" s="3"/>
      <c r="C488" s="7"/>
      <c r="D488" s="7"/>
      <c r="E488" s="6"/>
      <c r="F488" s="5"/>
      <c r="I488" s="6"/>
      <c r="J488" s="6"/>
      <c r="K488" s="6"/>
    </row>
    <row r="489" spans="2:11" x14ac:dyDescent="0.3">
      <c r="B489" s="3"/>
      <c r="C489" s="7"/>
      <c r="D489" s="7"/>
      <c r="E489" s="6"/>
      <c r="F489" s="5"/>
      <c r="I489" s="6"/>
      <c r="J489" s="6"/>
      <c r="K489" s="6"/>
    </row>
    <row r="490" spans="2:11" x14ac:dyDescent="0.3">
      <c r="B490" s="3"/>
      <c r="C490" s="7"/>
      <c r="D490" s="7"/>
      <c r="E490" s="6"/>
      <c r="F490" s="5"/>
      <c r="I490" s="6"/>
      <c r="J490" s="6"/>
      <c r="K490" s="6"/>
    </row>
    <row r="491" spans="2:11" x14ac:dyDescent="0.3">
      <c r="B491" s="3"/>
      <c r="C491" s="7"/>
      <c r="D491" s="7"/>
      <c r="E491" s="6"/>
      <c r="F491" s="5"/>
      <c r="I491" s="6"/>
      <c r="J491" s="6"/>
      <c r="K491" s="6"/>
    </row>
    <row r="492" spans="2:11" x14ac:dyDescent="0.3">
      <c r="B492" s="3"/>
      <c r="C492" s="7"/>
      <c r="D492" s="7"/>
      <c r="E492" s="6"/>
      <c r="F492" s="5"/>
      <c r="I492" s="6"/>
      <c r="J492" s="6"/>
      <c r="K492" s="6"/>
    </row>
    <row r="493" spans="2:11" x14ac:dyDescent="0.3">
      <c r="B493" s="3"/>
      <c r="C493" s="7"/>
      <c r="D493" s="7"/>
      <c r="E493" s="6"/>
      <c r="F493" s="5"/>
      <c r="I493" s="6"/>
      <c r="J493" s="6"/>
      <c r="K493" s="6"/>
    </row>
    <row r="494" spans="2:11" x14ac:dyDescent="0.3">
      <c r="B494" s="3"/>
      <c r="C494" s="7"/>
      <c r="D494" s="7"/>
      <c r="E494" s="6"/>
      <c r="F494" s="5"/>
      <c r="I494" s="6"/>
      <c r="J494" s="6"/>
      <c r="K494" s="6"/>
    </row>
    <row r="495" spans="2:11" x14ac:dyDescent="0.3">
      <c r="B495" s="3"/>
      <c r="C495" s="7"/>
      <c r="D495" s="7"/>
      <c r="E495" s="6"/>
      <c r="F495" s="5"/>
      <c r="I495" s="6"/>
      <c r="J495" s="6"/>
      <c r="K495" s="6"/>
    </row>
    <row r="496" spans="2:11" x14ac:dyDescent="0.3">
      <c r="B496" s="3"/>
      <c r="C496" s="7"/>
      <c r="D496" s="7"/>
      <c r="E496" s="6"/>
      <c r="F496" s="5"/>
      <c r="I496" s="6"/>
      <c r="J496" s="6"/>
      <c r="K496" s="6"/>
    </row>
    <row r="497" spans="2:11" x14ac:dyDescent="0.3">
      <c r="B497" s="3"/>
      <c r="C497" s="7"/>
      <c r="D497" s="7"/>
      <c r="E497" s="6"/>
      <c r="F497" s="5"/>
      <c r="I497" s="6"/>
      <c r="J497" s="6"/>
      <c r="K497" s="6"/>
    </row>
    <row r="498" spans="2:11" x14ac:dyDescent="0.3">
      <c r="B498" s="3"/>
      <c r="C498" s="7"/>
      <c r="D498" s="7"/>
      <c r="E498" s="6"/>
      <c r="F498" s="5"/>
      <c r="I498" s="6"/>
      <c r="J498" s="6"/>
      <c r="K498" s="6"/>
    </row>
    <row r="499" spans="2:11" x14ac:dyDescent="0.3">
      <c r="B499" s="3"/>
      <c r="C499" s="7"/>
      <c r="D499" s="7"/>
      <c r="E499" s="6"/>
      <c r="F499" s="5"/>
      <c r="I499" s="6"/>
      <c r="J499" s="6"/>
      <c r="K499" s="6"/>
    </row>
    <row r="500" spans="2:11" x14ac:dyDescent="0.3">
      <c r="B500" s="3"/>
      <c r="C500" s="7"/>
      <c r="D500" s="7"/>
      <c r="E500" s="6"/>
      <c r="F500" s="5"/>
      <c r="I500" s="6"/>
      <c r="J500" s="6"/>
      <c r="K500" s="6"/>
    </row>
    <row r="501" spans="2:11" x14ac:dyDescent="0.3">
      <c r="B501" s="3"/>
      <c r="C501" s="7"/>
      <c r="D501" s="7"/>
      <c r="E501" s="6"/>
      <c r="F501" s="5"/>
      <c r="I501" s="6"/>
      <c r="J501" s="6"/>
      <c r="K501" s="6"/>
    </row>
    <row r="502" spans="2:11" x14ac:dyDescent="0.3">
      <c r="B502" s="3"/>
      <c r="C502" s="7"/>
      <c r="D502" s="7"/>
      <c r="E502" s="6"/>
      <c r="F502" s="5"/>
      <c r="I502" s="6"/>
      <c r="J502" s="6"/>
      <c r="K502" s="6"/>
    </row>
    <row r="503" spans="2:11" x14ac:dyDescent="0.3">
      <c r="B503" s="3"/>
      <c r="C503" s="7"/>
      <c r="D503" s="7"/>
      <c r="E503" s="6"/>
      <c r="F503" s="5"/>
      <c r="I503" s="6"/>
      <c r="J503" s="6"/>
      <c r="K503" s="6"/>
    </row>
    <row r="504" spans="2:11" x14ac:dyDescent="0.3">
      <c r="B504" s="3"/>
      <c r="C504" s="7"/>
      <c r="D504" s="7"/>
      <c r="E504" s="6"/>
      <c r="F504" s="5"/>
      <c r="I504" s="6"/>
      <c r="J504" s="6"/>
      <c r="K504" s="6"/>
    </row>
    <row r="505" spans="2:11" x14ac:dyDescent="0.3">
      <c r="B505" s="3"/>
      <c r="C505" s="7"/>
      <c r="D505" s="7"/>
      <c r="E505" s="6"/>
      <c r="F505" s="5"/>
      <c r="I505" s="6"/>
      <c r="J505" s="6"/>
      <c r="K505" s="6"/>
    </row>
    <row r="506" spans="2:11" x14ac:dyDescent="0.3">
      <c r="B506" s="3"/>
      <c r="C506" s="7"/>
      <c r="D506" s="7"/>
      <c r="E506" s="6"/>
      <c r="F506" s="5"/>
      <c r="I506" s="6"/>
      <c r="J506" s="6"/>
      <c r="K506" s="6"/>
    </row>
    <row r="507" spans="2:11" x14ac:dyDescent="0.3">
      <c r="B507" s="3"/>
      <c r="C507" s="7"/>
      <c r="D507" s="7"/>
      <c r="E507" s="6"/>
      <c r="F507" s="5"/>
      <c r="I507" s="6"/>
      <c r="J507" s="6"/>
      <c r="K507" s="6"/>
    </row>
    <row r="508" spans="2:11" x14ac:dyDescent="0.3">
      <c r="B508" s="3"/>
      <c r="C508" s="7"/>
      <c r="D508" s="7"/>
      <c r="E508" s="6"/>
      <c r="F508" s="5"/>
      <c r="I508" s="6"/>
      <c r="J508" s="6"/>
      <c r="K508" s="6"/>
    </row>
    <row r="509" spans="2:11" x14ac:dyDescent="0.3">
      <c r="B509" s="3"/>
      <c r="C509" s="7"/>
      <c r="D509" s="7"/>
      <c r="E509" s="6"/>
      <c r="F509" s="5"/>
      <c r="I509" s="6"/>
      <c r="J509" s="6"/>
      <c r="K509" s="6"/>
    </row>
    <row r="510" spans="2:11" x14ac:dyDescent="0.3">
      <c r="B510" s="3"/>
      <c r="C510" s="7"/>
      <c r="D510" s="7"/>
      <c r="E510" s="6"/>
      <c r="F510" s="5"/>
      <c r="I510" s="6"/>
      <c r="J510" s="6"/>
      <c r="K510" s="6"/>
    </row>
    <row r="511" spans="2:11" x14ac:dyDescent="0.3">
      <c r="B511" s="3"/>
      <c r="C511" s="7"/>
      <c r="D511" s="7"/>
      <c r="E511" s="6"/>
      <c r="F511" s="5"/>
      <c r="I511" s="6"/>
      <c r="J511" s="6"/>
      <c r="K511" s="6"/>
    </row>
    <row r="512" spans="2:11" x14ac:dyDescent="0.3">
      <c r="B512" s="3"/>
      <c r="C512" s="7"/>
      <c r="D512" s="7"/>
      <c r="E512" s="6"/>
      <c r="F512" s="5"/>
      <c r="I512" s="6"/>
      <c r="J512" s="6"/>
      <c r="K512" s="6"/>
    </row>
    <row r="513" spans="2:11" x14ac:dyDescent="0.3">
      <c r="B513" s="3"/>
      <c r="C513" s="7"/>
      <c r="D513" s="7"/>
      <c r="E513" s="6"/>
      <c r="F513" s="5"/>
      <c r="I513" s="6"/>
      <c r="J513" s="6"/>
      <c r="K513" s="6"/>
    </row>
    <row r="514" spans="2:11" x14ac:dyDescent="0.3">
      <c r="B514" s="3"/>
      <c r="C514" s="7"/>
      <c r="D514" s="7"/>
      <c r="E514" s="6"/>
      <c r="F514" s="5"/>
      <c r="I514" s="6"/>
      <c r="J514" s="6"/>
      <c r="K514" s="6"/>
    </row>
    <row r="515" spans="2:11" x14ac:dyDescent="0.3">
      <c r="B515" s="3"/>
      <c r="C515" s="7"/>
      <c r="D515" s="7"/>
      <c r="E515" s="6"/>
      <c r="F515" s="5"/>
      <c r="I515" s="6"/>
      <c r="J515" s="6"/>
      <c r="K515" s="6"/>
    </row>
    <row r="516" spans="2:11" x14ac:dyDescent="0.3">
      <c r="B516" s="3"/>
      <c r="C516" s="7"/>
      <c r="D516" s="7"/>
      <c r="E516" s="6"/>
      <c r="F516" s="5"/>
      <c r="I516" s="6"/>
      <c r="J516" s="6"/>
      <c r="K516" s="6"/>
    </row>
    <row r="517" spans="2:11" x14ac:dyDescent="0.3">
      <c r="B517" s="3"/>
      <c r="C517" s="7"/>
      <c r="D517" s="7"/>
      <c r="E517" s="6"/>
      <c r="F517" s="5"/>
      <c r="I517" s="6"/>
      <c r="J517" s="6"/>
      <c r="K517" s="6"/>
    </row>
    <row r="518" spans="2:11" x14ac:dyDescent="0.3">
      <c r="B518" s="3"/>
      <c r="C518" s="7"/>
      <c r="D518" s="7"/>
      <c r="E518" s="6"/>
      <c r="F518" s="5"/>
      <c r="I518" s="6"/>
      <c r="J518" s="6"/>
      <c r="K518" s="6"/>
    </row>
    <row r="519" spans="2:11" x14ac:dyDescent="0.3">
      <c r="B519" s="3"/>
      <c r="C519" s="7"/>
      <c r="D519" s="7"/>
      <c r="E519" s="6"/>
      <c r="F519" s="5"/>
      <c r="I519" s="6"/>
      <c r="J519" s="6"/>
      <c r="K519" s="6"/>
    </row>
    <row r="520" spans="2:11" x14ac:dyDescent="0.3">
      <c r="B520" s="3"/>
      <c r="C520" s="7"/>
      <c r="D520" s="7"/>
      <c r="E520" s="6"/>
      <c r="F520" s="5"/>
      <c r="I520" s="6"/>
      <c r="J520" s="6"/>
      <c r="K520" s="6"/>
    </row>
    <row r="521" spans="2:11" x14ac:dyDescent="0.3">
      <c r="B521" s="3"/>
      <c r="C521" s="7"/>
      <c r="D521" s="7"/>
      <c r="E521" s="6"/>
      <c r="F521" s="5"/>
      <c r="I521" s="6"/>
      <c r="J521" s="6"/>
      <c r="K521" s="6"/>
    </row>
    <row r="522" spans="2:11" x14ac:dyDescent="0.3">
      <c r="B522" s="3"/>
      <c r="C522" s="7"/>
      <c r="D522" s="7"/>
      <c r="E522" s="6"/>
      <c r="F522" s="5"/>
      <c r="I522" s="6"/>
      <c r="J522" s="6"/>
      <c r="K522" s="6"/>
    </row>
    <row r="523" spans="2:11" x14ac:dyDescent="0.3">
      <c r="B523" s="3"/>
      <c r="C523" s="7"/>
      <c r="D523" s="7"/>
      <c r="E523" s="6"/>
      <c r="F523" s="5"/>
      <c r="I523" s="6"/>
      <c r="J523" s="6"/>
      <c r="K523" s="6"/>
    </row>
    <row r="524" spans="2:11" x14ac:dyDescent="0.3">
      <c r="B524" s="3"/>
      <c r="C524" s="7"/>
      <c r="D524" s="7"/>
      <c r="E524" s="6"/>
      <c r="F524" s="5"/>
      <c r="I524" s="6"/>
      <c r="J524" s="6"/>
      <c r="K524" s="6"/>
    </row>
    <row r="525" spans="2:11" x14ac:dyDescent="0.3">
      <c r="B525" s="3"/>
      <c r="C525" s="7"/>
      <c r="D525" s="7"/>
      <c r="E525" s="6"/>
      <c r="F525" s="5"/>
      <c r="I525" s="6"/>
      <c r="J525" s="6"/>
      <c r="K525" s="6"/>
    </row>
    <row r="526" spans="2:11" x14ac:dyDescent="0.3">
      <c r="B526" s="3"/>
      <c r="C526" s="7"/>
      <c r="D526" s="7"/>
      <c r="E526" s="6"/>
      <c r="F526" s="5"/>
      <c r="I526" s="6"/>
      <c r="J526" s="6"/>
      <c r="K526" s="6"/>
    </row>
    <row r="527" spans="2:11" x14ac:dyDescent="0.3">
      <c r="B527" s="3"/>
      <c r="C527" s="7"/>
      <c r="D527" s="7"/>
      <c r="E527" s="6"/>
      <c r="F527" s="5"/>
      <c r="I527" s="6"/>
      <c r="J527" s="6"/>
      <c r="K527" s="6"/>
    </row>
    <row r="528" spans="2:11" x14ac:dyDescent="0.3">
      <c r="B528" s="3"/>
      <c r="C528" s="7"/>
      <c r="D528" s="7"/>
      <c r="E528" s="6"/>
      <c r="F528" s="5"/>
      <c r="I528" s="6"/>
      <c r="J528" s="6"/>
      <c r="K528" s="6"/>
    </row>
    <row r="529" spans="2:11" x14ac:dyDescent="0.3">
      <c r="B529" s="3"/>
      <c r="C529" s="7"/>
      <c r="D529" s="7"/>
      <c r="E529" s="6"/>
      <c r="F529" s="5"/>
      <c r="I529" s="6"/>
      <c r="J529" s="6"/>
      <c r="K529" s="6"/>
    </row>
    <row r="530" spans="2:11" x14ac:dyDescent="0.3">
      <c r="B530" s="3"/>
      <c r="C530" s="7"/>
      <c r="D530" s="7"/>
      <c r="E530" s="6"/>
      <c r="F530" s="5"/>
      <c r="I530" s="6"/>
      <c r="J530" s="6"/>
      <c r="K530" s="6"/>
    </row>
    <row r="531" spans="2:11" x14ac:dyDescent="0.3">
      <c r="B531" s="3"/>
      <c r="C531" s="7"/>
      <c r="D531" s="7"/>
      <c r="E531" s="6"/>
      <c r="F531" s="5"/>
      <c r="I531" s="6"/>
      <c r="J531" s="6"/>
      <c r="K531" s="6"/>
    </row>
    <row r="532" spans="2:11" x14ac:dyDescent="0.3">
      <c r="B532" s="3"/>
      <c r="C532" s="7"/>
      <c r="D532" s="7"/>
      <c r="E532" s="6"/>
      <c r="F532" s="5"/>
      <c r="I532" s="6"/>
      <c r="J532" s="6"/>
      <c r="K532" s="6"/>
    </row>
    <row r="533" spans="2:11" x14ac:dyDescent="0.3">
      <c r="B533" s="3"/>
      <c r="C533" s="7"/>
      <c r="D533" s="7"/>
      <c r="E533" s="6"/>
      <c r="F533" s="5"/>
      <c r="I533" s="6"/>
      <c r="J533" s="6"/>
      <c r="K533" s="6"/>
    </row>
    <row r="534" spans="2:11" x14ac:dyDescent="0.3">
      <c r="B534" s="3"/>
      <c r="C534" s="7"/>
      <c r="D534" s="7"/>
      <c r="E534" s="6"/>
      <c r="F534" s="5"/>
      <c r="I534" s="6"/>
      <c r="J534" s="6"/>
      <c r="K534" s="6"/>
    </row>
    <row r="535" spans="2:11" x14ac:dyDescent="0.3">
      <c r="B535" s="3"/>
      <c r="C535" s="7"/>
      <c r="D535" s="7"/>
      <c r="E535" s="6"/>
      <c r="F535" s="5"/>
      <c r="I535" s="6"/>
      <c r="J535" s="6"/>
      <c r="K535" s="6"/>
    </row>
    <row r="536" spans="2:11" x14ac:dyDescent="0.3">
      <c r="B536" s="3"/>
      <c r="C536" s="7"/>
      <c r="D536" s="7"/>
      <c r="E536" s="6"/>
      <c r="F536" s="5"/>
      <c r="I536" s="6"/>
      <c r="J536" s="6"/>
      <c r="K536" s="6"/>
    </row>
    <row r="537" spans="2:11" x14ac:dyDescent="0.3">
      <c r="B537" s="3"/>
      <c r="C537" s="7"/>
      <c r="D537" s="7"/>
      <c r="E537" s="6"/>
      <c r="F537" s="5"/>
      <c r="I537" s="6"/>
      <c r="J537" s="6"/>
      <c r="K537" s="6"/>
    </row>
    <row r="538" spans="2:11" x14ac:dyDescent="0.3">
      <c r="B538" s="3"/>
      <c r="C538" s="7"/>
      <c r="D538" s="7"/>
      <c r="E538" s="6"/>
      <c r="F538" s="5"/>
      <c r="I538" s="6"/>
      <c r="J538" s="6"/>
      <c r="K538" s="6"/>
    </row>
    <row r="539" spans="2:11" x14ac:dyDescent="0.3">
      <c r="B539" s="3"/>
      <c r="C539" s="7"/>
      <c r="D539" s="7"/>
      <c r="E539" s="6"/>
      <c r="F539" s="5"/>
      <c r="I539" s="6"/>
      <c r="J539" s="6"/>
      <c r="K539" s="6"/>
    </row>
    <row r="540" spans="2:11" x14ac:dyDescent="0.3">
      <c r="B540" s="3"/>
      <c r="C540" s="7"/>
      <c r="D540" s="7"/>
      <c r="E540" s="6"/>
      <c r="F540" s="5"/>
      <c r="I540" s="6"/>
      <c r="J540" s="6"/>
      <c r="K540" s="6"/>
    </row>
    <row r="541" spans="2:11" x14ac:dyDescent="0.3">
      <c r="B541" s="3"/>
      <c r="C541" s="7"/>
      <c r="D541" s="7"/>
      <c r="E541" s="6"/>
      <c r="F541" s="5"/>
      <c r="I541" s="6"/>
      <c r="J541" s="6"/>
      <c r="K541" s="6"/>
    </row>
    <row r="542" spans="2:11" x14ac:dyDescent="0.3">
      <c r="B542" s="3"/>
      <c r="C542" s="7"/>
      <c r="D542" s="7"/>
      <c r="E542" s="6"/>
      <c r="F542" s="5"/>
      <c r="I542" s="6"/>
      <c r="J542" s="6"/>
      <c r="K542" s="6"/>
    </row>
    <row r="543" spans="2:11" x14ac:dyDescent="0.3">
      <c r="B543" s="3"/>
      <c r="C543" s="7"/>
      <c r="D543" s="7"/>
      <c r="E543" s="6"/>
      <c r="F543" s="5"/>
      <c r="I543" s="6"/>
      <c r="J543" s="6"/>
      <c r="K543" s="6"/>
    </row>
    <row r="544" spans="2:11" x14ac:dyDescent="0.3">
      <c r="B544" s="3"/>
      <c r="C544" s="7"/>
      <c r="D544" s="7"/>
      <c r="E544" s="6"/>
      <c r="F544" s="5"/>
      <c r="I544" s="6"/>
      <c r="J544" s="6"/>
      <c r="K544" s="6"/>
    </row>
    <row r="545" spans="2:11" x14ac:dyDescent="0.3">
      <c r="B545" s="3"/>
      <c r="C545" s="7"/>
      <c r="D545" s="7"/>
      <c r="E545" s="6"/>
      <c r="F545" s="5"/>
      <c r="I545" s="6"/>
      <c r="J545" s="6"/>
      <c r="K545" s="6"/>
    </row>
    <row r="546" spans="2:11" x14ac:dyDescent="0.3">
      <c r="B546" s="3"/>
      <c r="C546" s="7"/>
      <c r="D546" s="7"/>
      <c r="E546" s="6"/>
      <c r="F546" s="5"/>
      <c r="I546" s="6"/>
      <c r="J546" s="6"/>
      <c r="K546" s="6"/>
    </row>
    <row r="547" spans="2:11" x14ac:dyDescent="0.3">
      <c r="B547" s="3"/>
      <c r="C547" s="7"/>
      <c r="D547" s="7"/>
      <c r="E547" s="6"/>
      <c r="F547" s="5"/>
      <c r="I547" s="6"/>
      <c r="J547" s="6"/>
      <c r="K547" s="6"/>
    </row>
    <row r="548" spans="2:11" x14ac:dyDescent="0.3">
      <c r="B548" s="3"/>
      <c r="C548" s="7"/>
      <c r="D548" s="7"/>
      <c r="E548" s="6"/>
      <c r="F548" s="5"/>
      <c r="I548" s="6"/>
      <c r="J548" s="6"/>
      <c r="K548" s="6"/>
    </row>
    <row r="549" spans="2:11" x14ac:dyDescent="0.3">
      <c r="B549" s="3"/>
      <c r="C549" s="7"/>
      <c r="D549" s="7"/>
      <c r="E549" s="6"/>
      <c r="F549" s="5"/>
      <c r="I549" s="6"/>
      <c r="J549" s="6"/>
      <c r="K549" s="6"/>
    </row>
    <row r="550" spans="2:11" x14ac:dyDescent="0.3">
      <c r="B550" s="3"/>
      <c r="C550" s="7"/>
      <c r="D550" s="7"/>
      <c r="E550" s="6"/>
      <c r="F550" s="5"/>
      <c r="I550" s="6"/>
      <c r="J550" s="6"/>
      <c r="K550" s="6"/>
    </row>
    <row r="551" spans="2:11" x14ac:dyDescent="0.3">
      <c r="B551" s="3"/>
      <c r="C551" s="7"/>
      <c r="D551" s="7"/>
      <c r="E551" s="6"/>
      <c r="F551" s="5"/>
      <c r="I551" s="6"/>
      <c r="J551" s="6"/>
      <c r="K551" s="6"/>
    </row>
    <row r="552" spans="2:11" x14ac:dyDescent="0.3">
      <c r="B552" s="3"/>
      <c r="C552" s="7"/>
      <c r="D552" s="7"/>
      <c r="E552" s="6"/>
      <c r="F552" s="5"/>
      <c r="I552" s="6"/>
      <c r="J552" s="6"/>
      <c r="K552" s="6"/>
    </row>
    <row r="553" spans="2:11" x14ac:dyDescent="0.3">
      <c r="B553" s="3"/>
      <c r="C553" s="7"/>
      <c r="D553" s="7"/>
      <c r="E553" s="6"/>
      <c r="F553" s="5"/>
      <c r="I553" s="6"/>
      <c r="J553" s="6"/>
      <c r="K553" s="6"/>
    </row>
    <row r="554" spans="2:11" x14ac:dyDescent="0.3">
      <c r="B554" s="3"/>
      <c r="C554" s="7"/>
      <c r="D554" s="7"/>
      <c r="E554" s="6"/>
      <c r="F554" s="5"/>
      <c r="I554" s="6"/>
      <c r="J554" s="6"/>
      <c r="K554" s="6"/>
    </row>
    <row r="555" spans="2:11" x14ac:dyDescent="0.3">
      <c r="B555" s="3"/>
      <c r="C555" s="7"/>
      <c r="D555" s="7"/>
      <c r="E555" s="6"/>
      <c r="F555" s="5"/>
      <c r="I555" s="6"/>
      <c r="J555" s="6"/>
      <c r="K555" s="6"/>
    </row>
    <row r="556" spans="2:11" x14ac:dyDescent="0.3">
      <c r="B556" s="3"/>
      <c r="C556" s="7"/>
      <c r="D556" s="7"/>
      <c r="E556" s="6"/>
      <c r="F556" s="5"/>
      <c r="I556" s="6"/>
      <c r="J556" s="6"/>
      <c r="K556" s="6"/>
    </row>
    <row r="557" spans="2:11" x14ac:dyDescent="0.3">
      <c r="B557" s="3"/>
      <c r="C557" s="7"/>
      <c r="D557" s="7"/>
      <c r="E557" s="6"/>
      <c r="F557" s="5"/>
      <c r="I557" s="6"/>
      <c r="J557" s="6"/>
      <c r="K557" s="6"/>
    </row>
    <row r="558" spans="2:11" x14ac:dyDescent="0.3">
      <c r="B558" s="3"/>
      <c r="C558" s="7"/>
      <c r="D558" s="7"/>
      <c r="E558" s="6"/>
      <c r="F558" s="5"/>
      <c r="I558" s="6"/>
      <c r="J558" s="6"/>
      <c r="K558" s="6"/>
    </row>
    <row r="559" spans="2:11" x14ac:dyDescent="0.3">
      <c r="B559" s="3"/>
      <c r="C559" s="7"/>
      <c r="D559" s="7"/>
      <c r="E559" s="6"/>
      <c r="F559" s="5"/>
      <c r="I559" s="6"/>
      <c r="J559" s="6"/>
      <c r="K559" s="6"/>
    </row>
    <row r="560" spans="2:11" x14ac:dyDescent="0.3">
      <c r="B560" s="3"/>
      <c r="C560" s="7"/>
      <c r="D560" s="7"/>
      <c r="E560" s="6"/>
      <c r="F560" s="5"/>
      <c r="I560" s="6"/>
      <c r="J560" s="6"/>
      <c r="K560" s="6"/>
    </row>
    <row r="561" spans="2:11" x14ac:dyDescent="0.3">
      <c r="B561" s="3"/>
      <c r="C561" s="7"/>
      <c r="D561" s="7"/>
      <c r="E561" s="6"/>
      <c r="F561" s="5"/>
      <c r="I561" s="6"/>
      <c r="J561" s="6"/>
      <c r="K561" s="6"/>
    </row>
    <row r="562" spans="2:11" x14ac:dyDescent="0.3">
      <c r="B562" s="3"/>
      <c r="C562" s="7"/>
      <c r="D562" s="7"/>
      <c r="E562" s="6"/>
      <c r="F562" s="5"/>
      <c r="I562" s="6"/>
      <c r="J562" s="6"/>
      <c r="K562" s="6"/>
    </row>
    <row r="563" spans="2:11" x14ac:dyDescent="0.3">
      <c r="B563" s="3"/>
      <c r="C563" s="7"/>
      <c r="D563" s="7"/>
      <c r="E563" s="6"/>
      <c r="F563" s="5"/>
      <c r="I563" s="6"/>
      <c r="J563" s="6"/>
      <c r="K563" s="6"/>
    </row>
    <row r="564" spans="2:11" x14ac:dyDescent="0.3">
      <c r="B564" s="3"/>
      <c r="C564" s="7"/>
      <c r="D564" s="7"/>
      <c r="E564" s="6"/>
      <c r="F564" s="5"/>
      <c r="I564" s="6"/>
      <c r="J564" s="6"/>
      <c r="K564" s="6"/>
    </row>
    <row r="565" spans="2:11" x14ac:dyDescent="0.3">
      <c r="B565" s="3"/>
      <c r="C565" s="7"/>
      <c r="D565" s="7"/>
      <c r="E565" s="6"/>
      <c r="F565" s="5"/>
      <c r="I565" s="6"/>
      <c r="J565" s="6"/>
      <c r="K565" s="6"/>
    </row>
    <row r="566" spans="2:11" x14ac:dyDescent="0.3">
      <c r="B566" s="3"/>
      <c r="C566" s="7"/>
      <c r="D566" s="7"/>
      <c r="E566" s="6"/>
      <c r="F566" s="5"/>
      <c r="I566" s="6"/>
      <c r="J566" s="6"/>
      <c r="K566" s="6"/>
    </row>
    <row r="567" spans="2:11" x14ac:dyDescent="0.3">
      <c r="B567" s="3"/>
      <c r="C567" s="7"/>
      <c r="D567" s="7"/>
      <c r="E567" s="6"/>
      <c r="F567" s="5"/>
      <c r="I567" s="6"/>
      <c r="J567" s="6"/>
      <c r="K567" s="6"/>
    </row>
    <row r="568" spans="2:11" x14ac:dyDescent="0.3">
      <c r="B568" s="3"/>
      <c r="C568" s="7"/>
      <c r="D568" s="7"/>
      <c r="E568" s="6"/>
      <c r="F568" s="5"/>
      <c r="I568" s="6"/>
      <c r="J568" s="6"/>
      <c r="K568" s="6"/>
    </row>
    <row r="569" spans="2:11" x14ac:dyDescent="0.3">
      <c r="B569" s="3"/>
      <c r="C569" s="7"/>
      <c r="D569" s="7"/>
      <c r="E569" s="6"/>
      <c r="F569" s="5"/>
      <c r="I569" s="6"/>
      <c r="J569" s="6"/>
      <c r="K569" s="6"/>
    </row>
    <row r="570" spans="2:11" x14ac:dyDescent="0.3">
      <c r="B570" s="3"/>
      <c r="C570" s="7"/>
      <c r="D570" s="7"/>
      <c r="E570" s="6"/>
      <c r="F570" s="5"/>
      <c r="I570" s="6"/>
      <c r="J570" s="6"/>
      <c r="K570" s="6"/>
    </row>
    <row r="571" spans="2:11" x14ac:dyDescent="0.3">
      <c r="B571" s="3"/>
      <c r="C571" s="7"/>
      <c r="D571" s="7"/>
      <c r="E571" s="6"/>
      <c r="F571" s="5"/>
      <c r="I571" s="6"/>
      <c r="J571" s="6"/>
      <c r="K571" s="6"/>
    </row>
    <row r="572" spans="2:11" x14ac:dyDescent="0.3">
      <c r="B572" s="3"/>
      <c r="C572" s="7"/>
      <c r="D572" s="7"/>
      <c r="E572" s="6"/>
      <c r="F572" s="5"/>
      <c r="I572" s="6"/>
      <c r="J572" s="6"/>
      <c r="K572" s="6"/>
    </row>
    <row r="573" spans="2:11" x14ac:dyDescent="0.3">
      <c r="B573" s="3"/>
      <c r="C573" s="7"/>
      <c r="D573" s="7"/>
      <c r="E573" s="6"/>
      <c r="F573" s="5"/>
      <c r="I573" s="6"/>
      <c r="J573" s="6"/>
      <c r="K573" s="6"/>
    </row>
    <row r="574" spans="2:11" x14ac:dyDescent="0.3">
      <c r="B574" s="3"/>
      <c r="C574" s="7"/>
      <c r="D574" s="7"/>
      <c r="E574" s="6"/>
      <c r="F574" s="5"/>
      <c r="I574" s="6"/>
      <c r="J574" s="6"/>
      <c r="K574" s="6"/>
    </row>
    <row r="575" spans="2:11" x14ac:dyDescent="0.3">
      <c r="B575" s="3"/>
      <c r="C575" s="7"/>
      <c r="D575" s="7"/>
      <c r="E575" s="6"/>
      <c r="F575" s="5"/>
      <c r="I575" s="6"/>
      <c r="J575" s="6"/>
      <c r="K575" s="6"/>
    </row>
    <row r="576" spans="2:11" x14ac:dyDescent="0.3">
      <c r="B576" s="3"/>
      <c r="C576" s="7"/>
      <c r="D576" s="7"/>
      <c r="E576" s="6"/>
      <c r="F576" s="5"/>
      <c r="I576" s="6"/>
      <c r="J576" s="6"/>
      <c r="K576" s="6"/>
    </row>
    <row r="577" spans="2:11" x14ac:dyDescent="0.3">
      <c r="B577" s="3"/>
      <c r="C577" s="7"/>
      <c r="D577" s="7"/>
      <c r="E577" s="6"/>
      <c r="F577" s="5"/>
      <c r="I577" s="6"/>
      <c r="J577" s="6"/>
      <c r="K577" s="6"/>
    </row>
    <row r="578" spans="2:11" x14ac:dyDescent="0.3">
      <c r="B578" s="3"/>
      <c r="C578" s="7"/>
      <c r="D578" s="7"/>
      <c r="E578" s="6"/>
      <c r="F578" s="5"/>
      <c r="I578" s="6"/>
      <c r="J578" s="6"/>
      <c r="K578" s="6"/>
    </row>
    <row r="579" spans="2:11" x14ac:dyDescent="0.3">
      <c r="B579" s="3"/>
      <c r="C579" s="7"/>
      <c r="D579" s="7"/>
      <c r="E579" s="6"/>
      <c r="F579" s="5"/>
      <c r="I579" s="6"/>
      <c r="J579" s="6"/>
      <c r="K579" s="6"/>
    </row>
    <row r="580" spans="2:11" x14ac:dyDescent="0.3">
      <c r="B580" s="3"/>
      <c r="C580" s="7"/>
      <c r="D580" s="7"/>
      <c r="E580" s="6"/>
      <c r="F580" s="5"/>
      <c r="I580" s="6"/>
      <c r="J580" s="6"/>
      <c r="K580" s="6"/>
    </row>
    <row r="581" spans="2:11" x14ac:dyDescent="0.3">
      <c r="B581" s="3"/>
      <c r="C581" s="7"/>
      <c r="D581" s="7"/>
      <c r="E581" s="6"/>
      <c r="F581" s="5"/>
      <c r="I581" s="6"/>
      <c r="J581" s="6"/>
      <c r="K581" s="6"/>
    </row>
    <row r="582" spans="2:11" x14ac:dyDescent="0.3">
      <c r="B582" s="3"/>
      <c r="C582" s="7"/>
      <c r="D582" s="7"/>
      <c r="E582" s="6"/>
      <c r="F582" s="5"/>
      <c r="I582" s="6"/>
      <c r="J582" s="6"/>
      <c r="K582" s="6"/>
    </row>
    <row r="583" spans="2:11" x14ac:dyDescent="0.3">
      <c r="B583" s="3"/>
      <c r="C583" s="7"/>
      <c r="D583" s="7"/>
      <c r="E583" s="6"/>
      <c r="F583" s="5"/>
      <c r="I583" s="6"/>
      <c r="J583" s="6"/>
      <c r="K583" s="6"/>
    </row>
    <row r="584" spans="2:11" x14ac:dyDescent="0.3">
      <c r="B584" s="3"/>
      <c r="C584" s="7"/>
      <c r="D584" s="7"/>
      <c r="E584" s="6"/>
      <c r="F584" s="5"/>
      <c r="I584" s="6"/>
      <c r="J584" s="6"/>
      <c r="K584" s="6"/>
    </row>
    <row r="585" spans="2:11" x14ac:dyDescent="0.3">
      <c r="B585" s="3"/>
      <c r="C585" s="7"/>
      <c r="D585" s="7"/>
      <c r="E585" s="6"/>
      <c r="F585" s="5"/>
      <c r="I585" s="6"/>
      <c r="J585" s="6"/>
      <c r="K585" s="6"/>
    </row>
    <row r="586" spans="2:11" x14ac:dyDescent="0.3">
      <c r="B586" s="3"/>
      <c r="C586" s="7"/>
      <c r="D586" s="7"/>
      <c r="E586" s="6"/>
      <c r="F586" s="5"/>
      <c r="I586" s="6"/>
      <c r="J586" s="6"/>
      <c r="K586" s="6"/>
    </row>
    <row r="587" spans="2:11" x14ac:dyDescent="0.3">
      <c r="B587" s="3"/>
      <c r="C587" s="7"/>
      <c r="D587" s="7"/>
      <c r="E587" s="6"/>
      <c r="F587" s="5"/>
      <c r="I587" s="6"/>
      <c r="J587" s="6"/>
      <c r="K587" s="6"/>
    </row>
    <row r="588" spans="2:11" x14ac:dyDescent="0.3">
      <c r="B588" s="3"/>
      <c r="C588" s="7"/>
      <c r="D588" s="7"/>
      <c r="E588" s="6"/>
      <c r="F588" s="5"/>
      <c r="I588" s="6"/>
      <c r="J588" s="6"/>
      <c r="K588" s="6"/>
    </row>
    <row r="589" spans="2:11" x14ac:dyDescent="0.3">
      <c r="B589" s="3"/>
      <c r="C589" s="7"/>
      <c r="D589" s="7"/>
      <c r="E589" s="6"/>
      <c r="F589" s="5"/>
      <c r="I589" s="6"/>
      <c r="J589" s="6"/>
      <c r="K589" s="6"/>
    </row>
    <row r="590" spans="2:11" x14ac:dyDescent="0.3">
      <c r="B590" s="3"/>
      <c r="C590" s="7"/>
      <c r="D590" s="7"/>
      <c r="E590" s="6"/>
      <c r="F590" s="5"/>
      <c r="I590" s="6"/>
      <c r="J590" s="6"/>
      <c r="K590" s="6"/>
    </row>
    <row r="591" spans="2:11" x14ac:dyDescent="0.3">
      <c r="B591" s="3"/>
      <c r="C591" s="7"/>
      <c r="D591" s="7"/>
      <c r="E591" s="6"/>
      <c r="F591" s="5"/>
      <c r="I591" s="6"/>
      <c r="J591" s="6"/>
      <c r="K591" s="6"/>
    </row>
    <row r="592" spans="2:11" x14ac:dyDescent="0.3">
      <c r="B592" s="3"/>
      <c r="C592" s="7"/>
      <c r="D592" s="7"/>
      <c r="E592" s="6"/>
      <c r="F592" s="5"/>
      <c r="I592" s="6"/>
      <c r="J592" s="6"/>
      <c r="K592" s="6"/>
    </row>
    <row r="593" spans="2:11" x14ac:dyDescent="0.3">
      <c r="B593" s="3"/>
      <c r="C593" s="7"/>
      <c r="D593" s="7"/>
      <c r="E593" s="6"/>
      <c r="F593" s="5"/>
      <c r="I593" s="6"/>
      <c r="J593" s="6"/>
      <c r="K593" s="6"/>
    </row>
    <row r="594" spans="2:11" x14ac:dyDescent="0.3">
      <c r="B594" s="3"/>
      <c r="C594" s="7"/>
      <c r="D594" s="7"/>
      <c r="E594" s="6"/>
      <c r="F594" s="5"/>
      <c r="I594" s="6"/>
      <c r="J594" s="6"/>
      <c r="K594" s="6"/>
    </row>
    <row r="595" spans="2:11" x14ac:dyDescent="0.3">
      <c r="B595" s="3"/>
      <c r="C595" s="7"/>
      <c r="D595" s="7"/>
      <c r="E595" s="6"/>
      <c r="F595" s="5"/>
      <c r="I595" s="6"/>
      <c r="J595" s="6"/>
      <c r="K595" s="6"/>
    </row>
    <row r="596" spans="2:11" x14ac:dyDescent="0.3">
      <c r="B596" s="3"/>
      <c r="C596" s="7"/>
      <c r="D596" s="7"/>
      <c r="E596" s="6"/>
      <c r="F596" s="5"/>
      <c r="I596" s="6"/>
      <c r="J596" s="6"/>
      <c r="K596" s="6"/>
    </row>
    <row r="597" spans="2:11" x14ac:dyDescent="0.3">
      <c r="B597" s="3"/>
      <c r="C597" s="7"/>
      <c r="D597" s="7"/>
      <c r="E597" s="6"/>
      <c r="F597" s="5"/>
      <c r="I597" s="6"/>
      <c r="J597" s="6"/>
      <c r="K597" s="6"/>
    </row>
    <row r="598" spans="2:11" x14ac:dyDescent="0.3">
      <c r="B598" s="3"/>
      <c r="C598" s="7"/>
      <c r="D598" s="7"/>
      <c r="E598" s="6"/>
      <c r="F598" s="5"/>
      <c r="I598" s="6"/>
      <c r="J598" s="6"/>
      <c r="K598" s="6"/>
    </row>
    <row r="599" spans="2:11" x14ac:dyDescent="0.3">
      <c r="B599" s="3"/>
      <c r="C599" s="7"/>
      <c r="D599" s="7"/>
      <c r="E599" s="6"/>
      <c r="F599" s="5"/>
      <c r="I599" s="6"/>
      <c r="J599" s="6"/>
      <c r="K599" s="6"/>
    </row>
    <row r="600" spans="2:11" x14ac:dyDescent="0.3">
      <c r="B600" s="3"/>
      <c r="C600" s="7"/>
      <c r="D600" s="7"/>
      <c r="E600" s="6"/>
      <c r="F600" s="5"/>
      <c r="I600" s="6"/>
      <c r="J600" s="6"/>
      <c r="K600" s="6"/>
    </row>
    <row r="601" spans="2:11" x14ac:dyDescent="0.3">
      <c r="B601" s="3"/>
      <c r="C601" s="7"/>
      <c r="D601" s="7"/>
      <c r="E601" s="6"/>
      <c r="F601" s="5"/>
      <c r="I601" s="6"/>
      <c r="J601" s="6"/>
      <c r="K601" s="6"/>
    </row>
    <row r="602" spans="2:11" x14ac:dyDescent="0.3">
      <c r="B602" s="3"/>
      <c r="C602" s="7"/>
      <c r="D602" s="7"/>
      <c r="E602" s="6"/>
      <c r="F602" s="5"/>
      <c r="I602" s="6"/>
      <c r="J602" s="6"/>
      <c r="K602" s="6"/>
    </row>
    <row r="603" spans="2:11" x14ac:dyDescent="0.3">
      <c r="B603" s="3"/>
      <c r="C603" s="7"/>
      <c r="D603" s="7"/>
      <c r="E603" s="6"/>
      <c r="F603" s="5"/>
      <c r="I603" s="6"/>
      <c r="J603" s="6"/>
      <c r="K603" s="6"/>
    </row>
    <row r="604" spans="2:11" x14ac:dyDescent="0.3">
      <c r="B604" s="3"/>
      <c r="C604" s="7"/>
      <c r="D604" s="7"/>
      <c r="E604" s="6"/>
      <c r="F604" s="5"/>
      <c r="I604" s="6"/>
      <c r="J604" s="6"/>
      <c r="K604" s="6"/>
    </row>
    <row r="605" spans="2:11" x14ac:dyDescent="0.3">
      <c r="B605" s="3"/>
      <c r="C605" s="7"/>
      <c r="D605" s="7"/>
      <c r="E605" s="6"/>
      <c r="F605" s="5"/>
      <c r="I605" s="6"/>
      <c r="J605" s="6"/>
      <c r="K605" s="6"/>
    </row>
    <row r="606" spans="2:11" x14ac:dyDescent="0.3">
      <c r="B606" s="3"/>
      <c r="C606" s="7"/>
      <c r="D606" s="7"/>
      <c r="E606" s="6"/>
      <c r="F606" s="5"/>
      <c r="I606" s="6"/>
      <c r="J606" s="6"/>
      <c r="K606" s="6"/>
    </row>
    <row r="607" spans="2:11" x14ac:dyDescent="0.3">
      <c r="B607" s="3"/>
      <c r="C607" s="7"/>
      <c r="D607" s="7"/>
      <c r="E607" s="6"/>
      <c r="F607" s="5"/>
      <c r="I607" s="6"/>
      <c r="J607" s="6"/>
      <c r="K607" s="6"/>
    </row>
    <row r="608" spans="2:11" x14ac:dyDescent="0.3">
      <c r="B608" s="3"/>
      <c r="C608" s="7"/>
      <c r="D608" s="7"/>
      <c r="E608" s="6"/>
      <c r="F608" s="5"/>
      <c r="I608" s="6"/>
      <c r="J608" s="6"/>
      <c r="K608" s="6"/>
    </row>
    <row r="609" spans="2:11" x14ac:dyDescent="0.3">
      <c r="B609" s="3"/>
      <c r="C609" s="7"/>
      <c r="D609" s="7"/>
      <c r="E609" s="6"/>
      <c r="F609" s="5"/>
      <c r="I609" s="6"/>
      <c r="J609" s="6"/>
      <c r="K609" s="6"/>
    </row>
    <row r="610" spans="2:11" x14ac:dyDescent="0.3">
      <c r="B610" s="3"/>
      <c r="C610" s="7"/>
      <c r="D610" s="7"/>
      <c r="E610" s="6"/>
      <c r="F610" s="5"/>
      <c r="I610" s="6"/>
      <c r="J610" s="6"/>
      <c r="K610" s="6"/>
    </row>
    <row r="611" spans="2:11" x14ac:dyDescent="0.3">
      <c r="B611" s="3"/>
      <c r="C611" s="7"/>
      <c r="D611" s="7"/>
      <c r="E611" s="6"/>
      <c r="F611" s="5"/>
      <c r="I611" s="6"/>
      <c r="J611" s="6"/>
      <c r="K611" s="6"/>
    </row>
    <row r="612" spans="2:11" x14ac:dyDescent="0.3">
      <c r="B612" s="3"/>
      <c r="C612" s="7"/>
      <c r="D612" s="7"/>
      <c r="E612" s="6"/>
      <c r="F612" s="5"/>
      <c r="I612" s="6"/>
      <c r="J612" s="6"/>
      <c r="K612" s="6"/>
    </row>
    <row r="613" spans="2:11" x14ac:dyDescent="0.3">
      <c r="B613" s="3"/>
      <c r="C613" s="7"/>
      <c r="D613" s="7"/>
      <c r="E613" s="6"/>
      <c r="F613" s="5"/>
      <c r="I613" s="6"/>
      <c r="J613" s="6"/>
      <c r="K613" s="6"/>
    </row>
    <row r="614" spans="2:11" x14ac:dyDescent="0.3">
      <c r="B614" s="3"/>
      <c r="C614" s="7"/>
      <c r="D614" s="7"/>
      <c r="E614" s="6"/>
      <c r="F614" s="5"/>
      <c r="I614" s="6"/>
      <c r="J614" s="6"/>
      <c r="K614" s="6"/>
    </row>
    <row r="615" spans="2:11" x14ac:dyDescent="0.3">
      <c r="B615" s="3"/>
      <c r="C615" s="7"/>
      <c r="D615" s="7"/>
      <c r="E615" s="6"/>
      <c r="F615" s="5"/>
      <c r="I615" s="6"/>
      <c r="J615" s="6"/>
      <c r="K615" s="6"/>
    </row>
    <row r="616" spans="2:11" x14ac:dyDescent="0.3">
      <c r="B616" s="3"/>
      <c r="C616" s="7"/>
      <c r="D616" s="7"/>
      <c r="E616" s="6"/>
      <c r="F616" s="5"/>
      <c r="I616" s="6"/>
      <c r="J616" s="6"/>
      <c r="K616" s="6"/>
    </row>
    <row r="617" spans="2:11" x14ac:dyDescent="0.3">
      <c r="B617" s="3"/>
      <c r="C617" s="7"/>
      <c r="D617" s="7"/>
      <c r="E617" s="6"/>
      <c r="F617" s="5"/>
      <c r="I617" s="6"/>
      <c r="J617" s="6"/>
      <c r="K617" s="6"/>
    </row>
    <row r="618" spans="2:11" x14ac:dyDescent="0.3">
      <c r="B618" s="3"/>
      <c r="C618" s="7"/>
      <c r="D618" s="7"/>
      <c r="E618" s="6"/>
      <c r="F618" s="5"/>
      <c r="I618" s="6"/>
      <c r="J618" s="6"/>
      <c r="K618" s="6"/>
    </row>
    <row r="619" spans="2:11" x14ac:dyDescent="0.3">
      <c r="B619" s="3"/>
      <c r="C619" s="7"/>
      <c r="D619" s="7"/>
      <c r="E619" s="6"/>
      <c r="F619" s="5"/>
      <c r="I619" s="6"/>
      <c r="J619" s="6"/>
      <c r="K619" s="6"/>
    </row>
    <row r="620" spans="2:11" x14ac:dyDescent="0.3">
      <c r="B620" s="3"/>
      <c r="C620" s="7"/>
      <c r="D620" s="7"/>
      <c r="E620" s="6"/>
      <c r="F620" s="5"/>
      <c r="I620" s="6"/>
      <c r="J620" s="6"/>
      <c r="K620" s="6"/>
    </row>
    <row r="621" spans="2:11" x14ac:dyDescent="0.3">
      <c r="B621" s="3"/>
      <c r="C621" s="7"/>
      <c r="D621" s="7"/>
      <c r="E621" s="6"/>
      <c r="F621" s="5"/>
      <c r="I621" s="6"/>
      <c r="J621" s="6"/>
      <c r="K621" s="6"/>
    </row>
    <row r="622" spans="2:11" x14ac:dyDescent="0.3">
      <c r="B622" s="3"/>
      <c r="C622" s="7"/>
      <c r="D622" s="7"/>
      <c r="E622" s="6"/>
      <c r="F622" s="5"/>
      <c r="I622" s="6"/>
      <c r="J622" s="6"/>
      <c r="K622" s="6"/>
    </row>
    <row r="623" spans="2:11" x14ac:dyDescent="0.3">
      <c r="B623" s="3"/>
      <c r="C623" s="7"/>
      <c r="D623" s="7"/>
      <c r="E623" s="6"/>
      <c r="F623" s="5"/>
      <c r="I623" s="6"/>
      <c r="J623" s="6"/>
      <c r="K623" s="6"/>
    </row>
    <row r="624" spans="2:11" x14ac:dyDescent="0.3">
      <c r="B624" s="3"/>
      <c r="C624" s="7"/>
      <c r="D624" s="7"/>
      <c r="E624" s="6"/>
      <c r="F624" s="5"/>
      <c r="I624" s="6"/>
      <c r="J624" s="6"/>
      <c r="K624" s="6"/>
    </row>
    <row r="625" spans="2:11" x14ac:dyDescent="0.3">
      <c r="B625" s="3"/>
      <c r="C625" s="7"/>
      <c r="D625" s="7"/>
      <c r="E625" s="6"/>
      <c r="F625" s="5"/>
      <c r="I625" s="6"/>
      <c r="J625" s="6"/>
      <c r="K625" s="6"/>
    </row>
    <row r="626" spans="2:11" x14ac:dyDescent="0.3">
      <c r="B626" s="3"/>
      <c r="C626" s="7"/>
      <c r="D626" s="7"/>
      <c r="E626" s="6"/>
      <c r="F626" s="5"/>
      <c r="I626" s="6"/>
      <c r="J626" s="6"/>
      <c r="K626" s="6"/>
    </row>
    <row r="627" spans="2:11" x14ac:dyDescent="0.3">
      <c r="B627" s="3"/>
      <c r="C627" s="7"/>
      <c r="D627" s="7"/>
      <c r="E627" s="6"/>
      <c r="F627" s="5"/>
      <c r="I627" s="6"/>
      <c r="J627" s="6"/>
      <c r="K627" s="6"/>
    </row>
    <row r="628" spans="2:11" x14ac:dyDescent="0.3">
      <c r="B628" s="3"/>
      <c r="C628" s="7"/>
      <c r="D628" s="7"/>
      <c r="E628" s="6"/>
      <c r="F628" s="5"/>
      <c r="I628" s="6"/>
      <c r="J628" s="6"/>
      <c r="K628" s="6"/>
    </row>
    <row r="629" spans="2:11" x14ac:dyDescent="0.3">
      <c r="B629" s="3"/>
      <c r="C629" s="7"/>
      <c r="D629" s="7"/>
      <c r="E629" s="6"/>
      <c r="F629" s="5"/>
      <c r="I629" s="6"/>
      <c r="J629" s="6"/>
      <c r="K629" s="6"/>
    </row>
    <row r="630" spans="2:11" x14ac:dyDescent="0.3">
      <c r="B630" s="3"/>
      <c r="C630" s="7"/>
      <c r="D630" s="7"/>
      <c r="E630" s="6"/>
      <c r="F630" s="5"/>
      <c r="I630" s="6"/>
      <c r="J630" s="6"/>
      <c r="K630" s="6"/>
    </row>
    <row r="631" spans="2:11" x14ac:dyDescent="0.3">
      <c r="B631" s="3"/>
      <c r="C631" s="7"/>
      <c r="D631" s="7"/>
      <c r="E631" s="6"/>
      <c r="F631" s="5"/>
      <c r="I631" s="6"/>
      <c r="J631" s="6"/>
      <c r="K631" s="6"/>
    </row>
    <row r="632" spans="2:11" x14ac:dyDescent="0.3">
      <c r="B632" s="3"/>
      <c r="C632" s="7"/>
      <c r="D632" s="7"/>
      <c r="E632" s="6"/>
      <c r="F632" s="5"/>
      <c r="I632" s="6"/>
      <c r="J632" s="6"/>
      <c r="K632" s="6"/>
    </row>
    <row r="633" spans="2:11" x14ac:dyDescent="0.3">
      <c r="B633" s="3"/>
      <c r="C633" s="7"/>
      <c r="D633" s="7"/>
      <c r="E633" s="6"/>
      <c r="F633" s="5"/>
      <c r="I633" s="6"/>
      <c r="J633" s="6"/>
      <c r="K633" s="6"/>
    </row>
    <row r="634" spans="2:11" x14ac:dyDescent="0.3">
      <c r="B634" s="3"/>
      <c r="C634" s="7"/>
      <c r="D634" s="7"/>
      <c r="E634" s="6"/>
      <c r="F634" s="5"/>
      <c r="I634" s="6"/>
      <c r="J634" s="6"/>
      <c r="K634" s="6"/>
    </row>
    <row r="635" spans="2:11" x14ac:dyDescent="0.3">
      <c r="B635" s="3"/>
      <c r="C635" s="7"/>
      <c r="D635" s="7"/>
      <c r="E635" s="6"/>
      <c r="F635" s="5"/>
      <c r="I635" s="6"/>
      <c r="J635" s="6"/>
      <c r="K635" s="6"/>
    </row>
    <row r="636" spans="2:11" x14ac:dyDescent="0.3">
      <c r="B636" s="3"/>
      <c r="C636" s="7"/>
      <c r="D636" s="7"/>
      <c r="E636" s="6"/>
      <c r="F636" s="5"/>
      <c r="I636" s="6"/>
      <c r="J636" s="6"/>
      <c r="K636" s="6"/>
    </row>
    <row r="637" spans="2:11" x14ac:dyDescent="0.3">
      <c r="B637" s="3"/>
      <c r="C637" s="7"/>
      <c r="D637" s="7"/>
      <c r="E637" s="6"/>
      <c r="F637" s="5"/>
      <c r="I637" s="6"/>
      <c r="J637" s="6"/>
      <c r="K637" s="6"/>
    </row>
    <row r="638" spans="2:11" x14ac:dyDescent="0.3">
      <c r="B638" s="3"/>
      <c r="C638" s="7"/>
      <c r="D638" s="7"/>
      <c r="E638" s="6"/>
      <c r="F638" s="5"/>
      <c r="I638" s="6"/>
      <c r="J638" s="6"/>
      <c r="K638" s="6"/>
    </row>
    <row r="639" spans="2:11" x14ac:dyDescent="0.3">
      <c r="B639" s="3"/>
      <c r="C639" s="7"/>
      <c r="D639" s="7"/>
      <c r="E639" s="6"/>
      <c r="F639" s="5"/>
      <c r="I639" s="6"/>
      <c r="J639" s="6"/>
      <c r="K639" s="6"/>
    </row>
    <row r="640" spans="2:11" x14ac:dyDescent="0.3">
      <c r="B640" s="3"/>
      <c r="C640" s="7"/>
      <c r="D640" s="7"/>
      <c r="E640" s="6"/>
      <c r="F640" s="5"/>
      <c r="I640" s="6"/>
      <c r="J640" s="6"/>
      <c r="K640" s="6"/>
    </row>
    <row r="641" spans="2:11" x14ac:dyDescent="0.3">
      <c r="B641" s="3"/>
      <c r="C641" s="7"/>
      <c r="D641" s="7"/>
      <c r="E641" s="6"/>
      <c r="F641" s="5"/>
      <c r="I641" s="6"/>
      <c r="J641" s="6"/>
      <c r="K641" s="6"/>
    </row>
    <row r="642" spans="2:11" x14ac:dyDescent="0.3">
      <c r="B642" s="3"/>
      <c r="C642" s="7"/>
      <c r="D642" s="7"/>
      <c r="E642" s="6"/>
      <c r="F642" s="5"/>
      <c r="I642" s="6"/>
      <c r="J642" s="6"/>
      <c r="K642" s="6"/>
    </row>
    <row r="643" spans="2:11" x14ac:dyDescent="0.3">
      <c r="B643" s="3"/>
      <c r="C643" s="7"/>
      <c r="D643" s="7"/>
      <c r="E643" s="6"/>
      <c r="F643" s="5"/>
      <c r="I643" s="6"/>
      <c r="J643" s="6"/>
      <c r="K643" s="6"/>
    </row>
    <row r="644" spans="2:11" x14ac:dyDescent="0.3">
      <c r="B644" s="3"/>
      <c r="C644" s="7"/>
      <c r="D644" s="7"/>
      <c r="E644" s="6"/>
      <c r="F644" s="5"/>
      <c r="I644" s="6"/>
      <c r="J644" s="6"/>
      <c r="K644" s="6"/>
    </row>
    <row r="645" spans="2:11" x14ac:dyDescent="0.3">
      <c r="B645" s="3"/>
      <c r="C645" s="7"/>
      <c r="D645" s="7"/>
      <c r="E645" s="6"/>
      <c r="F645" s="5"/>
      <c r="I645" s="6"/>
      <c r="J645" s="6"/>
      <c r="K645" s="6"/>
    </row>
    <row r="646" spans="2:11" x14ac:dyDescent="0.3">
      <c r="B646" s="3"/>
      <c r="C646" s="7"/>
      <c r="D646" s="7"/>
      <c r="E646" s="6"/>
      <c r="F646" s="5"/>
      <c r="I646" s="6"/>
      <c r="J646" s="6"/>
      <c r="K646" s="6"/>
    </row>
    <row r="647" spans="2:11" x14ac:dyDescent="0.3">
      <c r="B647" s="3"/>
      <c r="C647" s="7"/>
      <c r="D647" s="7"/>
      <c r="E647" s="6"/>
      <c r="F647" s="5"/>
      <c r="I647" s="6"/>
      <c r="J647" s="6"/>
      <c r="K647" s="6"/>
    </row>
    <row r="648" spans="2:11" x14ac:dyDescent="0.3">
      <c r="B648" s="3"/>
      <c r="C648" s="7"/>
      <c r="D648" s="7"/>
      <c r="E648" s="6"/>
      <c r="F648" s="5"/>
      <c r="I648" s="6"/>
      <c r="J648" s="6"/>
      <c r="K648" s="6"/>
    </row>
    <row r="649" spans="2:11" x14ac:dyDescent="0.3">
      <c r="B649" s="3"/>
      <c r="C649" s="7"/>
      <c r="D649" s="7"/>
      <c r="E649" s="6"/>
      <c r="F649" s="5"/>
      <c r="I649" s="6"/>
      <c r="J649" s="6"/>
      <c r="K649" s="6"/>
    </row>
    <row r="650" spans="2:11" x14ac:dyDescent="0.3">
      <c r="B650" s="3"/>
      <c r="C650" s="7"/>
      <c r="D650" s="7"/>
      <c r="E650" s="6"/>
      <c r="F650" s="5"/>
      <c r="I650" s="6"/>
      <c r="J650" s="6"/>
      <c r="K650" s="6"/>
    </row>
    <row r="651" spans="2:11" x14ac:dyDescent="0.3">
      <c r="B651" s="3"/>
      <c r="C651" s="7"/>
      <c r="D651" s="7"/>
      <c r="E651" s="6"/>
      <c r="F651" s="5"/>
      <c r="I651" s="6"/>
      <c r="J651" s="6"/>
      <c r="K651" s="6"/>
    </row>
    <row r="652" spans="2:11" x14ac:dyDescent="0.3">
      <c r="B652" s="3"/>
      <c r="C652" s="7"/>
      <c r="D652" s="7"/>
      <c r="E652" s="6"/>
      <c r="F652" s="5"/>
      <c r="I652" s="6"/>
      <c r="J652" s="6"/>
      <c r="K652" s="6"/>
    </row>
    <row r="653" spans="2:11" x14ac:dyDescent="0.3">
      <c r="B653" s="3"/>
      <c r="C653" s="7"/>
      <c r="D653" s="7"/>
      <c r="E653" s="6"/>
      <c r="F653" s="5"/>
      <c r="I653" s="6"/>
      <c r="J653" s="6"/>
      <c r="K653" s="6"/>
    </row>
    <row r="654" spans="2:11" x14ac:dyDescent="0.3">
      <c r="B654" s="3"/>
      <c r="C654" s="7"/>
      <c r="D654" s="7"/>
      <c r="E654" s="6"/>
      <c r="F654" s="5"/>
      <c r="I654" s="6"/>
      <c r="J654" s="6"/>
      <c r="K654" s="6"/>
    </row>
    <row r="655" spans="2:11" x14ac:dyDescent="0.3">
      <c r="B655" s="3"/>
      <c r="C655" s="7"/>
      <c r="D655" s="7"/>
      <c r="E655" s="6"/>
      <c r="F655" s="5"/>
      <c r="I655" s="6"/>
      <c r="J655" s="6"/>
      <c r="K655" s="6"/>
    </row>
    <row r="656" spans="2:11" x14ac:dyDescent="0.3">
      <c r="B656" s="3"/>
      <c r="C656" s="7"/>
      <c r="D656" s="7"/>
      <c r="E656" s="6"/>
      <c r="F656" s="5"/>
      <c r="I656" s="6"/>
      <c r="J656" s="6"/>
      <c r="K656" s="6"/>
    </row>
    <row r="657" spans="2:11" x14ac:dyDescent="0.3">
      <c r="B657" s="3"/>
      <c r="C657" s="7"/>
      <c r="D657" s="7"/>
      <c r="E657" s="6"/>
      <c r="F657" s="5"/>
      <c r="I657" s="6"/>
      <c r="J657" s="6"/>
      <c r="K657" s="6"/>
    </row>
    <row r="658" spans="2:11" x14ac:dyDescent="0.3">
      <c r="B658" s="3"/>
      <c r="C658" s="7"/>
      <c r="D658" s="7"/>
      <c r="E658" s="6"/>
      <c r="F658" s="5"/>
      <c r="I658" s="6"/>
      <c r="J658" s="6"/>
      <c r="K658" s="6"/>
    </row>
    <row r="659" spans="2:11" x14ac:dyDescent="0.3">
      <c r="B659" s="3"/>
      <c r="C659" s="7"/>
      <c r="D659" s="7"/>
      <c r="E659" s="6"/>
      <c r="F659" s="5"/>
      <c r="I659" s="6"/>
      <c r="J659" s="6"/>
      <c r="K659" s="6"/>
    </row>
    <row r="660" spans="2:11" x14ac:dyDescent="0.3">
      <c r="B660" s="3"/>
      <c r="C660" s="7"/>
      <c r="D660" s="7"/>
      <c r="E660" s="6"/>
      <c r="F660" s="5"/>
      <c r="I660" s="6"/>
      <c r="J660" s="6"/>
      <c r="K660" s="6"/>
    </row>
    <row r="661" spans="2:11" x14ac:dyDescent="0.3">
      <c r="B661" s="3"/>
      <c r="C661" s="7"/>
      <c r="D661" s="7"/>
      <c r="E661" s="6"/>
      <c r="F661" s="5"/>
      <c r="I661" s="6"/>
      <c r="J661" s="6"/>
      <c r="K661" s="6"/>
    </row>
    <row r="662" spans="2:11" x14ac:dyDescent="0.3">
      <c r="B662" s="3"/>
      <c r="C662" s="7"/>
      <c r="D662" s="7"/>
      <c r="E662" s="6"/>
      <c r="F662" s="5"/>
      <c r="I662" s="6"/>
      <c r="J662" s="6"/>
      <c r="K662" s="6"/>
    </row>
    <row r="663" spans="2:11" x14ac:dyDescent="0.3">
      <c r="B663" s="3"/>
      <c r="C663" s="7"/>
      <c r="D663" s="7"/>
      <c r="E663" s="6"/>
      <c r="F663" s="5"/>
      <c r="I663" s="6"/>
      <c r="J663" s="6"/>
      <c r="K663" s="6"/>
    </row>
    <row r="664" spans="2:11" x14ac:dyDescent="0.3">
      <c r="B664" s="3"/>
      <c r="C664" s="7"/>
      <c r="D664" s="7"/>
      <c r="E664" s="6"/>
      <c r="F664" s="5"/>
      <c r="I664" s="6"/>
      <c r="J664" s="6"/>
      <c r="K664" s="6"/>
    </row>
    <row r="665" spans="2:11" x14ac:dyDescent="0.3">
      <c r="B665" s="3"/>
      <c r="C665" s="7"/>
      <c r="D665" s="7"/>
      <c r="E665" s="6"/>
      <c r="F665" s="5"/>
      <c r="I665" s="6"/>
      <c r="J665" s="6"/>
      <c r="K665" s="6"/>
    </row>
    <row r="666" spans="2:11" x14ac:dyDescent="0.3">
      <c r="B666" s="3"/>
      <c r="C666" s="7"/>
      <c r="D666" s="7"/>
      <c r="E666" s="6"/>
      <c r="F666" s="5"/>
      <c r="I666" s="6"/>
      <c r="J666" s="6"/>
      <c r="K666" s="6"/>
    </row>
    <row r="667" spans="2:11" x14ac:dyDescent="0.3">
      <c r="B667" s="3"/>
      <c r="C667" s="7"/>
      <c r="D667" s="7"/>
      <c r="E667" s="6"/>
      <c r="F667" s="5"/>
      <c r="I667" s="6"/>
      <c r="J667" s="6"/>
      <c r="K667" s="6"/>
    </row>
    <row r="668" spans="2:11" x14ac:dyDescent="0.3">
      <c r="B668" s="3"/>
      <c r="C668" s="7"/>
      <c r="D668" s="7"/>
      <c r="E668" s="6"/>
      <c r="F668" s="5"/>
      <c r="I668" s="6"/>
      <c r="J668" s="6"/>
      <c r="K668" s="6"/>
    </row>
    <row r="669" spans="2:11" x14ac:dyDescent="0.3">
      <c r="B669" s="3"/>
      <c r="C669" s="7"/>
      <c r="D669" s="7"/>
      <c r="E669" s="6"/>
      <c r="F669" s="5"/>
      <c r="I669" s="6"/>
      <c r="J669" s="6"/>
      <c r="K669" s="6"/>
    </row>
    <row r="670" spans="2:11" x14ac:dyDescent="0.3">
      <c r="B670" s="3"/>
      <c r="C670" s="7"/>
      <c r="D670" s="7"/>
      <c r="E670" s="6"/>
      <c r="F670" s="5"/>
      <c r="I670" s="6"/>
      <c r="J670" s="6"/>
      <c r="K670" s="6"/>
    </row>
    <row r="671" spans="2:11" x14ac:dyDescent="0.3">
      <c r="B671" s="3"/>
      <c r="C671" s="7"/>
      <c r="D671" s="7"/>
      <c r="E671" s="6"/>
      <c r="F671" s="5"/>
      <c r="I671" s="6"/>
      <c r="J671" s="6"/>
      <c r="K671" s="6"/>
    </row>
    <row r="672" spans="2:11" x14ac:dyDescent="0.3">
      <c r="B672" s="3"/>
      <c r="C672" s="7"/>
      <c r="D672" s="7"/>
      <c r="E672" s="6"/>
      <c r="F672" s="5"/>
      <c r="I672" s="6"/>
      <c r="J672" s="6"/>
      <c r="K672" s="6"/>
    </row>
    <row r="673" spans="2:11" x14ac:dyDescent="0.3">
      <c r="B673" s="3"/>
      <c r="C673" s="7"/>
      <c r="D673" s="7"/>
      <c r="E673" s="6"/>
      <c r="F673" s="5"/>
      <c r="I673" s="6"/>
      <c r="J673" s="6"/>
      <c r="K673" s="6"/>
    </row>
    <row r="674" spans="2:11" x14ac:dyDescent="0.3">
      <c r="B674" s="3"/>
      <c r="C674" s="7"/>
      <c r="D674" s="7"/>
      <c r="E674" s="6"/>
      <c r="F674" s="5"/>
      <c r="I674" s="6"/>
      <c r="J674" s="6"/>
      <c r="K674" s="6"/>
    </row>
    <row r="675" spans="2:11" x14ac:dyDescent="0.3">
      <c r="B675" s="3"/>
      <c r="C675" s="7"/>
      <c r="D675" s="7"/>
      <c r="E675" s="6"/>
      <c r="F675" s="5"/>
      <c r="I675" s="6"/>
      <c r="J675" s="6"/>
      <c r="K675" s="6"/>
    </row>
    <row r="676" spans="2:11" x14ac:dyDescent="0.3">
      <c r="B676" s="3"/>
      <c r="C676" s="7"/>
      <c r="D676" s="7"/>
      <c r="E676" s="6"/>
      <c r="F676" s="5"/>
      <c r="I676" s="6"/>
      <c r="J676" s="6"/>
      <c r="K676" s="6"/>
    </row>
    <row r="677" spans="2:11" x14ac:dyDescent="0.3">
      <c r="B677" s="3"/>
      <c r="C677" s="7"/>
      <c r="D677" s="7"/>
      <c r="E677" s="6"/>
      <c r="F677" s="5"/>
      <c r="I677" s="6"/>
      <c r="J677" s="6"/>
      <c r="K677" s="6"/>
    </row>
    <row r="678" spans="2:11" x14ac:dyDescent="0.3">
      <c r="B678" s="3"/>
      <c r="C678" s="7"/>
      <c r="D678" s="7"/>
      <c r="E678" s="6"/>
      <c r="F678" s="5"/>
      <c r="I678" s="6"/>
      <c r="J678" s="6"/>
      <c r="K678" s="6"/>
    </row>
    <row r="679" spans="2:11" x14ac:dyDescent="0.3">
      <c r="B679" s="3"/>
      <c r="C679" s="7"/>
      <c r="D679" s="7"/>
      <c r="E679" s="6"/>
      <c r="F679" s="5"/>
      <c r="I679" s="6"/>
      <c r="J679" s="6"/>
      <c r="K679" s="6"/>
    </row>
    <row r="680" spans="2:11" x14ac:dyDescent="0.3">
      <c r="B680" s="3"/>
      <c r="C680" s="7"/>
      <c r="D680" s="7"/>
      <c r="E680" s="6"/>
      <c r="F680" s="5"/>
      <c r="I680" s="6"/>
      <c r="J680" s="6"/>
      <c r="K680" s="6"/>
    </row>
    <row r="681" spans="2:11" x14ac:dyDescent="0.3">
      <c r="B681" s="3"/>
      <c r="C681" s="7"/>
      <c r="D681" s="7"/>
      <c r="E681" s="6"/>
      <c r="F681" s="5"/>
      <c r="I681" s="6"/>
      <c r="J681" s="6"/>
      <c r="K681" s="6"/>
    </row>
    <row r="682" spans="2:11" x14ac:dyDescent="0.3">
      <c r="B682" s="3"/>
      <c r="C682" s="7"/>
      <c r="D682" s="7"/>
      <c r="E682" s="6"/>
      <c r="F682" s="5"/>
      <c r="I682" s="6"/>
      <c r="J682" s="6"/>
      <c r="K682" s="6"/>
    </row>
    <row r="683" spans="2:11" x14ac:dyDescent="0.3">
      <c r="B683" s="3"/>
      <c r="C683" s="7"/>
      <c r="D683" s="7"/>
      <c r="E683" s="6"/>
      <c r="F683" s="5"/>
      <c r="I683" s="6"/>
      <c r="J683" s="6"/>
      <c r="K683" s="6"/>
    </row>
    <row r="684" spans="2:11" x14ac:dyDescent="0.3">
      <c r="B684" s="3"/>
      <c r="C684" s="7"/>
      <c r="D684" s="7"/>
      <c r="E684" s="6"/>
      <c r="F684" s="5"/>
      <c r="I684" s="6"/>
      <c r="J684" s="6"/>
      <c r="K684" s="6"/>
    </row>
    <row r="685" spans="2:11" x14ac:dyDescent="0.3">
      <c r="B685" s="3"/>
      <c r="C685" s="7"/>
      <c r="D685" s="7"/>
      <c r="E685" s="6"/>
      <c r="F685" s="5"/>
      <c r="I685" s="6"/>
      <c r="J685" s="6"/>
      <c r="K685" s="6"/>
    </row>
    <row r="686" spans="2:11" x14ac:dyDescent="0.3">
      <c r="B686" s="3"/>
      <c r="C686" s="7"/>
      <c r="D686" s="7"/>
      <c r="E686" s="6"/>
      <c r="F686" s="5"/>
      <c r="I686" s="6"/>
      <c r="J686" s="6"/>
      <c r="K686" s="6"/>
    </row>
    <row r="687" spans="2:11" x14ac:dyDescent="0.3">
      <c r="B687" s="3"/>
      <c r="C687" s="7"/>
      <c r="D687" s="7"/>
      <c r="E687" s="6"/>
      <c r="F687" s="5"/>
      <c r="I687" s="6"/>
      <c r="J687" s="6"/>
      <c r="K687" s="6"/>
    </row>
    <row r="688" spans="2:11" x14ac:dyDescent="0.3">
      <c r="B688" s="3"/>
      <c r="C688" s="7"/>
      <c r="D688" s="7"/>
      <c r="E688" s="6"/>
      <c r="F688" s="5"/>
      <c r="I688" s="6"/>
      <c r="J688" s="6"/>
      <c r="K688" s="6"/>
    </row>
    <row r="689" spans="2:11" x14ac:dyDescent="0.3">
      <c r="B689" s="3"/>
      <c r="C689" s="7"/>
      <c r="D689" s="7"/>
      <c r="E689" s="6"/>
      <c r="F689" s="5"/>
      <c r="I689" s="6"/>
      <c r="J689" s="6"/>
      <c r="K689" s="6"/>
    </row>
    <row r="690" spans="2:11" x14ac:dyDescent="0.3">
      <c r="B690" s="3"/>
      <c r="C690" s="7"/>
      <c r="D690" s="7"/>
      <c r="E690" s="6"/>
      <c r="F690" s="5"/>
      <c r="I690" s="6"/>
      <c r="J690" s="6"/>
      <c r="K690" s="6"/>
    </row>
    <row r="691" spans="2:11" x14ac:dyDescent="0.3">
      <c r="B691" s="3"/>
      <c r="C691" s="7"/>
      <c r="D691" s="7"/>
      <c r="E691" s="6"/>
      <c r="F691" s="5"/>
      <c r="I691" s="6"/>
      <c r="J691" s="6"/>
      <c r="K691" s="6"/>
    </row>
    <row r="692" spans="2:11" x14ac:dyDescent="0.3">
      <c r="B692" s="3"/>
      <c r="C692" s="7"/>
      <c r="D692" s="7"/>
      <c r="E692" s="6"/>
      <c r="F692" s="5"/>
      <c r="I692" s="6"/>
      <c r="J692" s="6"/>
      <c r="K692" s="6"/>
    </row>
    <row r="693" spans="2:11" x14ac:dyDescent="0.3">
      <c r="B693" s="3"/>
      <c r="C693" s="7"/>
      <c r="D693" s="7"/>
      <c r="E693" s="6"/>
      <c r="F693" s="5"/>
      <c r="I693" s="6"/>
      <c r="J693" s="6"/>
      <c r="K693" s="6"/>
    </row>
    <row r="694" spans="2:11" x14ac:dyDescent="0.3">
      <c r="B694" s="3"/>
      <c r="C694" s="7"/>
      <c r="D694" s="7"/>
      <c r="E694" s="6"/>
      <c r="F694" s="5"/>
      <c r="I694" s="6"/>
      <c r="J694" s="6"/>
      <c r="K694" s="6"/>
    </row>
    <row r="695" spans="2:11" x14ac:dyDescent="0.3">
      <c r="B695" s="3"/>
      <c r="C695" s="7"/>
      <c r="D695" s="7"/>
      <c r="E695" s="6"/>
      <c r="F695" s="5"/>
      <c r="I695" s="6"/>
      <c r="J695" s="6"/>
      <c r="K695" s="6"/>
    </row>
    <row r="696" spans="2:11" x14ac:dyDescent="0.3">
      <c r="B696" s="3"/>
      <c r="C696" s="7"/>
      <c r="D696" s="7"/>
      <c r="E696" s="6"/>
      <c r="F696" s="5"/>
      <c r="I696" s="6"/>
      <c r="J696" s="6"/>
      <c r="K696" s="6"/>
    </row>
    <row r="697" spans="2:11" x14ac:dyDescent="0.3">
      <c r="B697" s="3"/>
      <c r="C697" s="7"/>
      <c r="D697" s="7"/>
      <c r="E697" s="6"/>
      <c r="F697" s="5"/>
      <c r="I697" s="6"/>
      <c r="J697" s="6"/>
      <c r="K697" s="6"/>
    </row>
    <row r="698" spans="2:11" x14ac:dyDescent="0.3">
      <c r="B698" s="3"/>
      <c r="C698" s="7"/>
      <c r="D698" s="7"/>
      <c r="E698" s="6"/>
      <c r="F698" s="5"/>
      <c r="I698" s="6"/>
      <c r="J698" s="6"/>
      <c r="K698" s="6"/>
    </row>
    <row r="699" spans="2:11" x14ac:dyDescent="0.3">
      <c r="B699" s="3"/>
      <c r="C699" s="7"/>
      <c r="D699" s="7"/>
      <c r="E699" s="6"/>
      <c r="F699" s="5"/>
      <c r="I699" s="6"/>
      <c r="J699" s="6"/>
      <c r="K699" s="6"/>
    </row>
    <row r="700" spans="2:11" x14ac:dyDescent="0.3">
      <c r="B700" s="3"/>
      <c r="C700" s="7"/>
      <c r="D700" s="7"/>
      <c r="E700" s="6"/>
      <c r="F700" s="5"/>
      <c r="I700" s="6"/>
      <c r="J700" s="6"/>
      <c r="K700" s="6"/>
    </row>
    <row r="701" spans="2:11" x14ac:dyDescent="0.3">
      <c r="B701" s="3"/>
      <c r="C701" s="7"/>
      <c r="D701" s="7"/>
      <c r="E701" s="6"/>
      <c r="F701" s="5"/>
      <c r="I701" s="6"/>
      <c r="J701" s="6"/>
      <c r="K701" s="6"/>
    </row>
    <row r="702" spans="2:11" x14ac:dyDescent="0.3">
      <c r="B702" s="3"/>
      <c r="C702" s="7"/>
      <c r="D702" s="7"/>
      <c r="E702" s="6"/>
      <c r="F702" s="5"/>
      <c r="I702" s="6"/>
      <c r="J702" s="6"/>
      <c r="K702" s="6"/>
    </row>
    <row r="703" spans="2:11" x14ac:dyDescent="0.3">
      <c r="B703" s="3"/>
      <c r="C703" s="7"/>
      <c r="D703" s="7"/>
      <c r="E703" s="6"/>
      <c r="F703" s="5"/>
      <c r="I703" s="6"/>
      <c r="J703" s="6"/>
      <c r="K703" s="6"/>
    </row>
    <row r="704" spans="2:11" x14ac:dyDescent="0.3">
      <c r="B704" s="3"/>
      <c r="C704" s="7"/>
      <c r="D704" s="7"/>
      <c r="E704" s="6"/>
      <c r="F704" s="5"/>
      <c r="I704" s="6"/>
      <c r="J704" s="6"/>
      <c r="K704" s="6"/>
    </row>
    <row r="705" spans="2:11" x14ac:dyDescent="0.3">
      <c r="B705" s="3"/>
      <c r="C705" s="7"/>
      <c r="D705" s="7"/>
      <c r="E705" s="6"/>
      <c r="F705" s="5"/>
      <c r="I705" s="6"/>
      <c r="J705" s="6"/>
      <c r="K705" s="6"/>
    </row>
    <row r="706" spans="2:11" x14ac:dyDescent="0.3">
      <c r="B706" s="3"/>
      <c r="C706" s="7"/>
      <c r="D706" s="7"/>
      <c r="E706" s="6"/>
      <c r="F706" s="5"/>
      <c r="I706" s="6"/>
      <c r="J706" s="6"/>
      <c r="K706" s="6"/>
    </row>
    <row r="707" spans="2:11" x14ac:dyDescent="0.3">
      <c r="B707" s="3"/>
      <c r="C707" s="7"/>
      <c r="D707" s="7"/>
      <c r="E707" s="6"/>
      <c r="F707" s="5"/>
      <c r="I707" s="6"/>
      <c r="J707" s="6"/>
      <c r="K707" s="6"/>
    </row>
    <row r="708" spans="2:11" x14ac:dyDescent="0.3">
      <c r="B708" s="3"/>
      <c r="C708" s="7"/>
      <c r="D708" s="7"/>
      <c r="E708" s="6"/>
      <c r="F708" s="5"/>
      <c r="I708" s="6"/>
      <c r="J708" s="6"/>
      <c r="K708" s="6"/>
    </row>
    <row r="709" spans="2:11" x14ac:dyDescent="0.3">
      <c r="B709" s="3"/>
      <c r="C709" s="7"/>
      <c r="D709" s="7"/>
      <c r="E709" s="6"/>
      <c r="F709" s="5"/>
      <c r="I709" s="6"/>
      <c r="J709" s="6"/>
      <c r="K709" s="6"/>
    </row>
    <row r="710" spans="2:11" x14ac:dyDescent="0.3">
      <c r="B710" s="3"/>
      <c r="C710" s="7"/>
      <c r="D710" s="7"/>
      <c r="E710" s="6"/>
      <c r="F710" s="5"/>
      <c r="I710" s="6"/>
      <c r="J710" s="6"/>
      <c r="K710" s="6"/>
    </row>
    <row r="711" spans="2:11" x14ac:dyDescent="0.3">
      <c r="B711" s="3"/>
      <c r="C711" s="7"/>
      <c r="D711" s="7"/>
      <c r="E711" s="6"/>
      <c r="F711" s="5"/>
      <c r="I711" s="6"/>
      <c r="J711" s="6"/>
      <c r="K711" s="6"/>
    </row>
    <row r="712" spans="2:11" x14ac:dyDescent="0.3">
      <c r="B712" s="3"/>
      <c r="C712" s="7"/>
      <c r="D712" s="7"/>
      <c r="E712" s="6"/>
      <c r="F712" s="5"/>
      <c r="I712" s="6"/>
      <c r="J712" s="6"/>
      <c r="K712" s="6"/>
    </row>
    <row r="713" spans="2:11" x14ac:dyDescent="0.3">
      <c r="B713" s="3"/>
      <c r="C713" s="7"/>
      <c r="D713" s="7"/>
      <c r="E713" s="6"/>
      <c r="F713" s="5"/>
      <c r="I713" s="6"/>
      <c r="J713" s="6"/>
      <c r="K713" s="6"/>
    </row>
    <row r="714" spans="2:11" x14ac:dyDescent="0.3">
      <c r="B714" s="3"/>
      <c r="C714" s="7"/>
      <c r="D714" s="7"/>
      <c r="E714" s="6"/>
      <c r="F714" s="5"/>
      <c r="I714" s="6"/>
      <c r="J714" s="6"/>
      <c r="K714" s="6"/>
    </row>
    <row r="715" spans="2:11" x14ac:dyDescent="0.3">
      <c r="B715" s="3"/>
      <c r="C715" s="7"/>
      <c r="D715" s="7"/>
      <c r="E715" s="6"/>
      <c r="F715" s="5"/>
      <c r="I715" s="6"/>
      <c r="J715" s="6"/>
      <c r="K715" s="6"/>
    </row>
    <row r="716" spans="2:11" x14ac:dyDescent="0.3">
      <c r="B716" s="3"/>
      <c r="C716" s="7"/>
      <c r="D716" s="7"/>
      <c r="E716" s="6"/>
      <c r="F716" s="5"/>
      <c r="I716" s="6"/>
      <c r="J716" s="6"/>
      <c r="K716" s="6"/>
    </row>
    <row r="717" spans="2:11" x14ac:dyDescent="0.3">
      <c r="B717" s="3"/>
      <c r="C717" s="7"/>
      <c r="D717" s="7"/>
      <c r="E717" s="6"/>
      <c r="F717" s="5"/>
      <c r="I717" s="6"/>
      <c r="J717" s="6"/>
      <c r="K717" s="6"/>
    </row>
    <row r="718" spans="2:11" x14ac:dyDescent="0.3">
      <c r="B718" s="3"/>
      <c r="C718" s="7"/>
      <c r="D718" s="7"/>
      <c r="E718" s="6"/>
      <c r="F718" s="5"/>
      <c r="I718" s="6"/>
      <c r="J718" s="6"/>
      <c r="K718" s="6"/>
    </row>
    <row r="719" spans="2:11" x14ac:dyDescent="0.3">
      <c r="B719" s="3"/>
      <c r="C719" s="7"/>
      <c r="D719" s="7"/>
      <c r="E719" s="6"/>
      <c r="F719" s="5"/>
      <c r="I719" s="6"/>
      <c r="J719" s="6"/>
      <c r="K719" s="6"/>
    </row>
    <row r="720" spans="2:11" x14ac:dyDescent="0.3">
      <c r="B720" s="3"/>
      <c r="C720" s="7"/>
      <c r="D720" s="7"/>
      <c r="E720" s="6"/>
      <c r="F720" s="5"/>
      <c r="I720" s="6"/>
      <c r="J720" s="6"/>
      <c r="K720" s="6"/>
    </row>
    <row r="721" spans="2:11" x14ac:dyDescent="0.3">
      <c r="B721" s="3"/>
      <c r="C721" s="7"/>
      <c r="D721" s="7"/>
      <c r="E721" s="6"/>
      <c r="F721" s="5"/>
      <c r="I721" s="6"/>
      <c r="J721" s="6"/>
      <c r="K721" s="6"/>
    </row>
    <row r="722" spans="2:11" x14ac:dyDescent="0.3">
      <c r="B722" s="3"/>
      <c r="C722" s="7"/>
      <c r="D722" s="7"/>
      <c r="E722" s="6"/>
      <c r="F722" s="5"/>
      <c r="I722" s="6"/>
      <c r="J722" s="6"/>
      <c r="K722" s="6"/>
    </row>
    <row r="723" spans="2:11" x14ac:dyDescent="0.3">
      <c r="B723" s="3"/>
      <c r="C723" s="7"/>
      <c r="D723" s="7"/>
      <c r="E723" s="6"/>
      <c r="F723" s="5"/>
      <c r="I723" s="6"/>
      <c r="J723" s="6"/>
      <c r="K723" s="6"/>
    </row>
    <row r="724" spans="2:11" x14ac:dyDescent="0.3">
      <c r="B724" s="3"/>
      <c r="C724" s="7"/>
      <c r="D724" s="7"/>
      <c r="E724" s="6"/>
      <c r="F724" s="5"/>
      <c r="I724" s="6"/>
      <c r="J724" s="6"/>
      <c r="K724" s="6"/>
    </row>
    <row r="725" spans="2:11" x14ac:dyDescent="0.3">
      <c r="B725" s="3"/>
      <c r="C725" s="7"/>
      <c r="D725" s="7"/>
      <c r="E725" s="6"/>
      <c r="F725" s="5"/>
      <c r="I725" s="6"/>
      <c r="J725" s="6"/>
      <c r="K725" s="6"/>
    </row>
    <row r="726" spans="2:11" x14ac:dyDescent="0.3">
      <c r="B726" s="3"/>
      <c r="C726" s="7"/>
      <c r="D726" s="7"/>
      <c r="E726" s="6"/>
      <c r="F726" s="5"/>
      <c r="I726" s="6"/>
      <c r="J726" s="6"/>
      <c r="K726" s="6"/>
    </row>
    <row r="727" spans="2:11" x14ac:dyDescent="0.3">
      <c r="B727" s="3"/>
      <c r="C727" s="7"/>
      <c r="D727" s="7"/>
      <c r="E727" s="6"/>
      <c r="F727" s="5"/>
      <c r="I727" s="6"/>
      <c r="J727" s="6"/>
      <c r="K727" s="6"/>
    </row>
    <row r="728" spans="2:11" x14ac:dyDescent="0.3">
      <c r="B728" s="3"/>
      <c r="C728" s="7"/>
      <c r="D728" s="7"/>
      <c r="E728" s="6"/>
      <c r="F728" s="5"/>
      <c r="I728" s="6"/>
      <c r="J728" s="6"/>
      <c r="K728" s="6"/>
    </row>
    <row r="729" spans="2:11" x14ac:dyDescent="0.3">
      <c r="B729" s="3"/>
      <c r="C729" s="7"/>
      <c r="D729" s="7"/>
      <c r="E729" s="6"/>
      <c r="F729" s="5"/>
      <c r="I729" s="6"/>
      <c r="J729" s="6"/>
      <c r="K729" s="6"/>
    </row>
    <row r="730" spans="2:11" x14ac:dyDescent="0.3">
      <c r="B730" s="3"/>
      <c r="C730" s="7"/>
      <c r="D730" s="7"/>
      <c r="E730" s="6"/>
      <c r="F730" s="5"/>
      <c r="I730" s="6"/>
      <c r="J730" s="6"/>
      <c r="K730" s="6"/>
    </row>
    <row r="731" spans="2:11" x14ac:dyDescent="0.3">
      <c r="B731" s="3"/>
      <c r="C731" s="7"/>
      <c r="D731" s="7"/>
      <c r="E731" s="6"/>
      <c r="F731" s="5"/>
      <c r="I731" s="6"/>
      <c r="J731" s="6"/>
      <c r="K731" s="6"/>
    </row>
    <row r="732" spans="2:11" x14ac:dyDescent="0.3">
      <c r="B732" s="3"/>
      <c r="C732" s="7"/>
      <c r="D732" s="7"/>
      <c r="E732" s="6"/>
      <c r="F732" s="5"/>
      <c r="I732" s="6"/>
      <c r="J732" s="6"/>
      <c r="K732" s="6"/>
    </row>
    <row r="733" spans="2:11" x14ac:dyDescent="0.3">
      <c r="B733" s="3"/>
      <c r="C733" s="7"/>
      <c r="D733" s="7"/>
      <c r="E733" s="6"/>
      <c r="F733" s="5"/>
      <c r="I733" s="6"/>
      <c r="J733" s="6"/>
      <c r="K733" s="6"/>
    </row>
    <row r="734" spans="2:11" x14ac:dyDescent="0.3">
      <c r="B734" s="3"/>
      <c r="C734" s="7"/>
      <c r="D734" s="7"/>
      <c r="E734" s="6"/>
      <c r="F734" s="5"/>
      <c r="I734" s="6"/>
      <c r="J734" s="6"/>
      <c r="K734" s="6"/>
    </row>
    <row r="735" spans="2:11" x14ac:dyDescent="0.3">
      <c r="B735" s="3"/>
      <c r="C735" s="7"/>
      <c r="D735" s="7"/>
      <c r="E735" s="6"/>
      <c r="F735" s="5"/>
      <c r="I735" s="6"/>
      <c r="J735" s="6"/>
      <c r="K735" s="6"/>
    </row>
    <row r="736" spans="2:11" x14ac:dyDescent="0.3">
      <c r="B736" s="3"/>
      <c r="C736" s="7"/>
      <c r="D736" s="7"/>
      <c r="E736" s="6"/>
      <c r="F736" s="5"/>
      <c r="I736" s="6"/>
      <c r="J736" s="6"/>
      <c r="K736" s="6"/>
    </row>
    <row r="737" spans="2:11" x14ac:dyDescent="0.3">
      <c r="B737" s="3"/>
      <c r="C737" s="7"/>
      <c r="D737" s="7"/>
      <c r="E737" s="6"/>
      <c r="F737" s="5"/>
      <c r="I737" s="6"/>
      <c r="J737" s="6"/>
      <c r="K737" s="6"/>
    </row>
    <row r="738" spans="2:11" x14ac:dyDescent="0.3">
      <c r="B738" s="3"/>
      <c r="C738" s="7"/>
      <c r="D738" s="7"/>
      <c r="E738" s="6"/>
      <c r="F738" s="5"/>
      <c r="I738" s="6"/>
      <c r="J738" s="6"/>
      <c r="K738" s="6"/>
    </row>
    <row r="739" spans="2:11" x14ac:dyDescent="0.3">
      <c r="B739" s="3"/>
      <c r="C739" s="7"/>
      <c r="D739" s="7"/>
      <c r="E739" s="6"/>
      <c r="F739" s="5"/>
      <c r="I739" s="6"/>
      <c r="J739" s="6"/>
      <c r="K739" s="6"/>
    </row>
    <row r="740" spans="2:11" x14ac:dyDescent="0.3">
      <c r="B740" s="3"/>
      <c r="C740" s="7"/>
      <c r="D740" s="7"/>
      <c r="E740" s="6"/>
      <c r="F740" s="5"/>
      <c r="I740" s="6"/>
      <c r="J740" s="6"/>
      <c r="K740" s="6"/>
    </row>
    <row r="741" spans="2:11" x14ac:dyDescent="0.3">
      <c r="B741" s="3"/>
      <c r="C741" s="7"/>
      <c r="D741" s="7"/>
      <c r="E741" s="6"/>
      <c r="F741" s="5"/>
      <c r="I741" s="6"/>
      <c r="J741" s="6"/>
      <c r="K741" s="6"/>
    </row>
    <row r="742" spans="2:11" x14ac:dyDescent="0.3">
      <c r="B742" s="3"/>
      <c r="C742" s="7"/>
      <c r="D742" s="7"/>
      <c r="E742" s="6"/>
      <c r="F742" s="5"/>
      <c r="I742" s="6"/>
      <c r="J742" s="6"/>
      <c r="K742" s="6"/>
    </row>
    <row r="743" spans="2:11" x14ac:dyDescent="0.3">
      <c r="B743" s="3"/>
      <c r="C743" s="7"/>
      <c r="D743" s="7"/>
      <c r="E743" s="6"/>
      <c r="F743" s="5"/>
      <c r="I743" s="6"/>
      <c r="J743" s="6"/>
      <c r="K743" s="6"/>
    </row>
    <row r="744" spans="2:11" x14ac:dyDescent="0.3">
      <c r="B744" s="3"/>
      <c r="C744" s="7"/>
      <c r="D744" s="7"/>
      <c r="E744" s="6"/>
      <c r="F744" s="5"/>
      <c r="I744" s="6"/>
      <c r="J744" s="6"/>
      <c r="K744" s="6"/>
    </row>
    <row r="745" spans="2:11" x14ac:dyDescent="0.3">
      <c r="B745" s="3"/>
      <c r="C745" s="7"/>
      <c r="D745" s="7"/>
      <c r="E745" s="6"/>
      <c r="F745" s="5"/>
      <c r="I745" s="6"/>
      <c r="J745" s="6"/>
      <c r="K745" s="6"/>
    </row>
    <row r="746" spans="2:11" x14ac:dyDescent="0.3">
      <c r="B746" s="3"/>
      <c r="C746" s="7"/>
      <c r="D746" s="7"/>
      <c r="E746" s="6"/>
      <c r="F746" s="5"/>
      <c r="I746" s="6"/>
      <c r="J746" s="6"/>
      <c r="K746" s="6"/>
    </row>
    <row r="747" spans="2:11" x14ac:dyDescent="0.3">
      <c r="B747" s="3"/>
      <c r="C747" s="7"/>
      <c r="D747" s="7"/>
      <c r="E747" s="6"/>
      <c r="F747" s="5"/>
      <c r="I747" s="6"/>
      <c r="J747" s="6"/>
      <c r="K747" s="6"/>
    </row>
    <row r="748" spans="2:11" x14ac:dyDescent="0.3">
      <c r="B748" s="3"/>
      <c r="C748" s="7"/>
      <c r="D748" s="7"/>
      <c r="E748" s="6"/>
      <c r="F748" s="5"/>
      <c r="I748" s="6"/>
      <c r="J748" s="6"/>
      <c r="K748" s="6"/>
    </row>
    <row r="749" spans="2:11" x14ac:dyDescent="0.3">
      <c r="B749" s="3"/>
      <c r="C749" s="7"/>
      <c r="D749" s="7"/>
      <c r="E749" s="6"/>
      <c r="F749" s="5"/>
      <c r="I749" s="6"/>
      <c r="J749" s="6"/>
      <c r="K749" s="6"/>
    </row>
    <row r="750" spans="2:11" x14ac:dyDescent="0.3">
      <c r="B750" s="3"/>
      <c r="C750" s="7"/>
      <c r="D750" s="7"/>
      <c r="E750" s="6"/>
      <c r="F750" s="5"/>
      <c r="I750" s="6"/>
      <c r="J750" s="6"/>
      <c r="K750" s="6"/>
    </row>
    <row r="751" spans="2:11" x14ac:dyDescent="0.3">
      <c r="B751" s="3"/>
      <c r="C751" s="7"/>
      <c r="D751" s="7"/>
      <c r="E751" s="6"/>
      <c r="F751" s="5"/>
      <c r="I751" s="6"/>
      <c r="J751" s="6"/>
      <c r="K751" s="6"/>
    </row>
    <row r="752" spans="2:11" x14ac:dyDescent="0.3">
      <c r="B752" s="3"/>
      <c r="C752" s="7"/>
      <c r="D752" s="7"/>
      <c r="E752" s="6"/>
      <c r="F752" s="5"/>
      <c r="I752" s="6"/>
      <c r="J752" s="6"/>
      <c r="K752" s="6"/>
    </row>
    <row r="753" spans="2:11" x14ac:dyDescent="0.3">
      <c r="B753" s="3"/>
      <c r="C753" s="7"/>
      <c r="D753" s="7"/>
      <c r="E753" s="6"/>
      <c r="F753" s="5"/>
      <c r="I753" s="6"/>
      <c r="J753" s="6"/>
      <c r="K753" s="6"/>
    </row>
    <row r="754" spans="2:11" x14ac:dyDescent="0.3">
      <c r="B754" s="3"/>
      <c r="C754" s="7"/>
      <c r="D754" s="7"/>
      <c r="E754" s="6"/>
      <c r="F754" s="5"/>
      <c r="I754" s="6"/>
      <c r="J754" s="6"/>
      <c r="K754" s="6"/>
    </row>
    <row r="755" spans="2:11" x14ac:dyDescent="0.3">
      <c r="B755" s="3"/>
      <c r="C755" s="7"/>
      <c r="D755" s="7"/>
      <c r="E755" s="6"/>
      <c r="F755" s="5"/>
      <c r="I755" s="6"/>
      <c r="J755" s="6"/>
      <c r="K755" s="6"/>
    </row>
    <row r="756" spans="2:11" x14ac:dyDescent="0.3">
      <c r="B756" s="3"/>
      <c r="C756" s="7"/>
      <c r="D756" s="7"/>
      <c r="E756" s="6"/>
      <c r="F756" s="5"/>
      <c r="I756" s="6"/>
      <c r="J756" s="6"/>
      <c r="K756" s="6"/>
    </row>
    <row r="757" spans="2:11" x14ac:dyDescent="0.3">
      <c r="B757" s="3"/>
      <c r="C757" s="7"/>
      <c r="D757" s="7"/>
      <c r="E757" s="6"/>
      <c r="F757" s="5"/>
      <c r="I757" s="6"/>
      <c r="J757" s="6"/>
      <c r="K757" s="6"/>
    </row>
    <row r="758" spans="2:11" x14ac:dyDescent="0.3">
      <c r="B758" s="3"/>
      <c r="C758" s="7"/>
      <c r="D758" s="7"/>
      <c r="E758" s="6"/>
      <c r="F758" s="5"/>
      <c r="I758" s="6"/>
      <c r="J758" s="6"/>
      <c r="K758" s="6"/>
    </row>
    <row r="759" spans="2:11" x14ac:dyDescent="0.3">
      <c r="B759" s="3"/>
      <c r="C759" s="7"/>
      <c r="D759" s="7"/>
      <c r="E759" s="6"/>
      <c r="F759" s="5"/>
      <c r="I759" s="6"/>
      <c r="J759" s="6"/>
      <c r="K759" s="6"/>
    </row>
    <row r="760" spans="2:11" x14ac:dyDescent="0.3">
      <c r="B760" s="3"/>
      <c r="C760" s="7"/>
      <c r="D760" s="7"/>
      <c r="E760" s="6"/>
      <c r="F760" s="5"/>
      <c r="I760" s="6"/>
      <c r="J760" s="6"/>
      <c r="K760" s="6"/>
    </row>
    <row r="761" spans="2:11" x14ac:dyDescent="0.3">
      <c r="B761" s="3"/>
      <c r="C761" s="7"/>
      <c r="D761" s="7"/>
      <c r="E761" s="6"/>
      <c r="F761" s="5"/>
      <c r="I761" s="6"/>
      <c r="J761" s="6"/>
      <c r="K761" s="6"/>
    </row>
    <row r="762" spans="2:11" x14ac:dyDescent="0.3">
      <c r="B762" s="3"/>
      <c r="C762" s="7"/>
      <c r="D762" s="7"/>
      <c r="E762" s="6"/>
      <c r="F762" s="5"/>
      <c r="I762" s="6"/>
      <c r="J762" s="6"/>
      <c r="K762" s="6"/>
    </row>
    <row r="763" spans="2:11" x14ac:dyDescent="0.3">
      <c r="B763" s="3"/>
      <c r="C763" s="7"/>
      <c r="D763" s="7"/>
      <c r="E763" s="6"/>
      <c r="F763" s="5"/>
      <c r="I763" s="6"/>
      <c r="J763" s="6"/>
      <c r="K763" s="6"/>
    </row>
    <row r="764" spans="2:11" x14ac:dyDescent="0.3">
      <c r="B764" s="3"/>
      <c r="C764" s="7"/>
      <c r="D764" s="7"/>
      <c r="E764" s="6"/>
      <c r="F764" s="5"/>
      <c r="I764" s="6"/>
      <c r="J764" s="6"/>
      <c r="K764" s="6"/>
    </row>
    <row r="765" spans="2:11" x14ac:dyDescent="0.3">
      <c r="B765" s="3"/>
      <c r="C765" s="7"/>
      <c r="D765" s="7"/>
      <c r="E765" s="6"/>
      <c r="F765" s="5"/>
      <c r="I765" s="6"/>
      <c r="J765" s="6"/>
      <c r="K765" s="6"/>
    </row>
    <row r="766" spans="2:11" x14ac:dyDescent="0.3">
      <c r="B766" s="3"/>
      <c r="C766" s="7"/>
      <c r="D766" s="7"/>
      <c r="E766" s="6"/>
      <c r="F766" s="5"/>
      <c r="I766" s="6"/>
      <c r="J766" s="6"/>
      <c r="K766" s="6"/>
    </row>
    <row r="767" spans="2:11" x14ac:dyDescent="0.3">
      <c r="B767" s="3"/>
      <c r="C767" s="7"/>
      <c r="D767" s="7"/>
      <c r="E767" s="6"/>
      <c r="F767" s="5"/>
      <c r="I767" s="6"/>
      <c r="J767" s="6"/>
      <c r="K767" s="6"/>
    </row>
    <row r="768" spans="2:11" x14ac:dyDescent="0.3">
      <c r="B768" s="3"/>
      <c r="C768" s="7"/>
      <c r="D768" s="7"/>
      <c r="E768" s="6"/>
      <c r="F768" s="5"/>
      <c r="I768" s="6"/>
      <c r="J768" s="6"/>
      <c r="K768" s="6"/>
    </row>
    <row r="769" spans="2:11" x14ac:dyDescent="0.3">
      <c r="B769" s="3"/>
      <c r="C769" s="7"/>
      <c r="D769" s="7"/>
      <c r="E769" s="6"/>
      <c r="F769" s="5"/>
      <c r="I769" s="6"/>
      <c r="J769" s="6"/>
      <c r="K769" s="6"/>
    </row>
    <row r="770" spans="2:11" x14ac:dyDescent="0.3">
      <c r="B770" s="3"/>
      <c r="C770" s="7"/>
      <c r="D770" s="7"/>
      <c r="E770" s="6"/>
      <c r="F770" s="5"/>
      <c r="I770" s="6"/>
      <c r="J770" s="6"/>
      <c r="K770" s="6"/>
    </row>
    <row r="771" spans="2:11" x14ac:dyDescent="0.3">
      <c r="B771" s="3"/>
      <c r="C771" s="7"/>
      <c r="D771" s="7"/>
      <c r="E771" s="6"/>
      <c r="F771" s="5"/>
      <c r="I771" s="6"/>
      <c r="J771" s="6"/>
      <c r="K771" s="6"/>
    </row>
    <row r="772" spans="2:11" x14ac:dyDescent="0.3">
      <c r="B772" s="3"/>
      <c r="C772" s="7"/>
      <c r="D772" s="7"/>
      <c r="E772" s="6"/>
      <c r="F772" s="5"/>
      <c r="I772" s="6"/>
      <c r="J772" s="6"/>
      <c r="K772" s="6"/>
    </row>
    <row r="773" spans="2:11" x14ac:dyDescent="0.3">
      <c r="B773" s="3"/>
      <c r="C773" s="7"/>
      <c r="D773" s="7"/>
      <c r="E773" s="6"/>
      <c r="F773" s="5"/>
      <c r="I773" s="6"/>
      <c r="J773" s="6"/>
      <c r="K773" s="6"/>
    </row>
    <row r="774" spans="2:11" x14ac:dyDescent="0.3">
      <c r="B774" s="3"/>
      <c r="C774" s="7"/>
      <c r="D774" s="7"/>
      <c r="E774" s="6"/>
      <c r="F774" s="5"/>
      <c r="I774" s="6"/>
      <c r="J774" s="6"/>
      <c r="K774" s="6"/>
    </row>
    <row r="775" spans="2:11" x14ac:dyDescent="0.3">
      <c r="B775" s="3"/>
      <c r="C775" s="7"/>
      <c r="D775" s="7"/>
      <c r="E775" s="6"/>
      <c r="F775" s="5"/>
      <c r="I775" s="6"/>
      <c r="J775" s="6"/>
      <c r="K775" s="6"/>
    </row>
    <row r="776" spans="2:11" x14ac:dyDescent="0.3">
      <c r="B776" s="3"/>
      <c r="C776" s="7"/>
      <c r="D776" s="7"/>
      <c r="E776" s="6"/>
      <c r="F776" s="5"/>
      <c r="I776" s="6"/>
      <c r="J776" s="6"/>
      <c r="K776" s="6"/>
    </row>
    <row r="777" spans="2:11" x14ac:dyDescent="0.3">
      <c r="B777" s="3"/>
      <c r="C777" s="7"/>
      <c r="D777" s="7"/>
      <c r="E777" s="6"/>
      <c r="F777" s="5"/>
      <c r="I777" s="6"/>
      <c r="J777" s="6"/>
      <c r="K777" s="6"/>
    </row>
    <row r="778" spans="2:11" x14ac:dyDescent="0.3">
      <c r="B778" s="3"/>
      <c r="C778" s="7"/>
      <c r="D778" s="7"/>
      <c r="E778" s="6"/>
      <c r="F778" s="5"/>
      <c r="I778" s="6"/>
      <c r="J778" s="6"/>
      <c r="K778" s="6"/>
    </row>
    <row r="779" spans="2:11" x14ac:dyDescent="0.3">
      <c r="B779" s="3"/>
      <c r="C779" s="7"/>
      <c r="D779" s="7"/>
      <c r="E779" s="6"/>
      <c r="F779" s="5"/>
      <c r="I779" s="6"/>
      <c r="J779" s="6"/>
      <c r="K779" s="6"/>
    </row>
    <row r="780" spans="2:11" x14ac:dyDescent="0.3">
      <c r="B780" s="3"/>
      <c r="C780" s="7"/>
      <c r="D780" s="7"/>
      <c r="E780" s="6"/>
      <c r="F780" s="5"/>
      <c r="I780" s="6"/>
      <c r="J780" s="6"/>
      <c r="K780" s="6"/>
    </row>
    <row r="781" spans="2:11" x14ac:dyDescent="0.3">
      <c r="B781" s="3"/>
      <c r="C781" s="7"/>
      <c r="D781" s="7"/>
      <c r="E781" s="6"/>
      <c r="F781" s="5"/>
      <c r="I781" s="6"/>
      <c r="J781" s="6"/>
      <c r="K781" s="6"/>
    </row>
    <row r="782" spans="2:11" x14ac:dyDescent="0.3">
      <c r="B782" s="3"/>
      <c r="C782" s="7"/>
      <c r="D782" s="7"/>
      <c r="E782" s="6"/>
      <c r="F782" s="5"/>
      <c r="I782" s="6"/>
      <c r="J782" s="6"/>
      <c r="K782" s="6"/>
    </row>
    <row r="783" spans="2:11" x14ac:dyDescent="0.3">
      <c r="B783" s="3"/>
      <c r="C783" s="7"/>
      <c r="D783" s="7"/>
      <c r="E783" s="6"/>
      <c r="F783" s="5"/>
      <c r="I783" s="6"/>
      <c r="J783" s="6"/>
      <c r="K783" s="6"/>
    </row>
    <row r="784" spans="2:11" x14ac:dyDescent="0.3">
      <c r="B784" s="3"/>
      <c r="C784" s="7"/>
      <c r="D784" s="7"/>
      <c r="E784" s="6"/>
      <c r="F784" s="5"/>
      <c r="I784" s="6"/>
      <c r="J784" s="6"/>
      <c r="K784" s="6"/>
    </row>
    <row r="785" spans="2:11" x14ac:dyDescent="0.3">
      <c r="B785" s="3"/>
      <c r="C785" s="7"/>
      <c r="D785" s="7"/>
      <c r="E785" s="6"/>
      <c r="F785" s="5"/>
      <c r="I785" s="6"/>
      <c r="J785" s="6"/>
      <c r="K785" s="6"/>
    </row>
    <row r="786" spans="2:11" x14ac:dyDescent="0.3">
      <c r="B786" s="3"/>
      <c r="C786" s="7"/>
      <c r="D786" s="7"/>
      <c r="E786" s="6"/>
      <c r="F786" s="5"/>
      <c r="I786" s="6"/>
      <c r="J786" s="6"/>
      <c r="K786" s="6"/>
    </row>
    <row r="787" spans="2:11" x14ac:dyDescent="0.3">
      <c r="B787" s="3"/>
      <c r="C787" s="7"/>
      <c r="D787" s="7"/>
      <c r="E787" s="6"/>
      <c r="F787" s="5"/>
      <c r="I787" s="6"/>
      <c r="J787" s="6"/>
      <c r="K787" s="6"/>
    </row>
    <row r="788" spans="2:11" x14ac:dyDescent="0.3">
      <c r="B788" s="3"/>
      <c r="C788" s="7"/>
      <c r="D788" s="7"/>
      <c r="E788" s="6"/>
      <c r="F788" s="5"/>
      <c r="I788" s="6"/>
      <c r="J788" s="6"/>
      <c r="K788" s="6"/>
    </row>
    <row r="789" spans="2:11" x14ac:dyDescent="0.3">
      <c r="B789" s="3"/>
      <c r="C789" s="7"/>
      <c r="D789" s="7"/>
      <c r="E789" s="6"/>
      <c r="F789" s="5"/>
      <c r="I789" s="6"/>
      <c r="J789" s="6"/>
      <c r="K789" s="6"/>
    </row>
    <row r="790" spans="2:11" x14ac:dyDescent="0.3">
      <c r="B790" s="3"/>
      <c r="C790" s="7"/>
      <c r="D790" s="7"/>
      <c r="E790" s="6"/>
      <c r="F790" s="5"/>
      <c r="I790" s="6"/>
      <c r="J790" s="6"/>
      <c r="K790" s="6"/>
    </row>
    <row r="791" spans="2:11" x14ac:dyDescent="0.3">
      <c r="B791" s="3"/>
      <c r="C791" s="7"/>
      <c r="D791" s="7"/>
      <c r="E791" s="6"/>
      <c r="F791" s="5"/>
      <c r="I791" s="6"/>
      <c r="J791" s="6"/>
      <c r="K791" s="6"/>
    </row>
    <row r="792" spans="2:11" x14ac:dyDescent="0.3">
      <c r="B792" s="3"/>
      <c r="C792" s="7"/>
      <c r="D792" s="7"/>
      <c r="E792" s="6"/>
      <c r="F792" s="5"/>
      <c r="I792" s="6"/>
      <c r="J792" s="6"/>
      <c r="K792" s="6"/>
    </row>
    <row r="793" spans="2:11" x14ac:dyDescent="0.3">
      <c r="B793" s="3"/>
      <c r="C793" s="7"/>
      <c r="D793" s="7"/>
      <c r="E793" s="6"/>
      <c r="F793" s="5"/>
      <c r="I793" s="6"/>
      <c r="J793" s="6"/>
      <c r="K793" s="6"/>
    </row>
    <row r="794" spans="2:11" x14ac:dyDescent="0.3">
      <c r="B794" s="3"/>
      <c r="C794" s="7"/>
      <c r="D794" s="7"/>
      <c r="E794" s="6"/>
      <c r="F794" s="5"/>
      <c r="I794" s="6"/>
      <c r="J794" s="6"/>
      <c r="K794" s="6"/>
    </row>
    <row r="795" spans="2:11" x14ac:dyDescent="0.3">
      <c r="B795" s="3"/>
      <c r="C795" s="7"/>
      <c r="D795" s="7"/>
      <c r="E795" s="6"/>
      <c r="F795" s="5"/>
      <c r="I795" s="6"/>
      <c r="J795" s="6"/>
      <c r="K795" s="6"/>
    </row>
    <row r="796" spans="2:11" x14ac:dyDescent="0.3">
      <c r="B796" s="3"/>
      <c r="C796" s="7"/>
      <c r="D796" s="7"/>
      <c r="E796" s="6"/>
      <c r="F796" s="5"/>
      <c r="I796" s="6"/>
      <c r="J796" s="6"/>
      <c r="K796" s="6"/>
    </row>
    <row r="797" spans="2:11" x14ac:dyDescent="0.3">
      <c r="B797" s="3"/>
      <c r="C797" s="7"/>
      <c r="D797" s="7"/>
      <c r="E797" s="6"/>
      <c r="F797" s="5"/>
      <c r="I797" s="6"/>
      <c r="J797" s="6"/>
      <c r="K797" s="6"/>
    </row>
    <row r="798" spans="2:11" x14ac:dyDescent="0.3">
      <c r="B798" s="3"/>
      <c r="C798" s="7"/>
      <c r="D798" s="7"/>
      <c r="E798" s="6"/>
      <c r="F798" s="5"/>
      <c r="I798" s="6"/>
      <c r="J798" s="6"/>
      <c r="K798" s="6"/>
    </row>
    <row r="799" spans="2:11" x14ac:dyDescent="0.3">
      <c r="B799" s="3"/>
      <c r="C799" s="7"/>
      <c r="D799" s="7"/>
      <c r="E799" s="6"/>
      <c r="F799" s="5"/>
      <c r="I799" s="6"/>
      <c r="J799" s="6"/>
      <c r="K799" s="6"/>
    </row>
    <row r="800" spans="2:11" x14ac:dyDescent="0.3">
      <c r="B800" s="3"/>
      <c r="C800" s="7"/>
      <c r="D800" s="7"/>
      <c r="E800" s="6"/>
      <c r="F800" s="5"/>
      <c r="I800" s="6"/>
      <c r="J800" s="6"/>
      <c r="K800" s="6"/>
    </row>
    <row r="801" spans="2:11" x14ac:dyDescent="0.3">
      <c r="B801" s="3"/>
      <c r="C801" s="7"/>
      <c r="D801" s="7"/>
      <c r="E801" s="6"/>
      <c r="F801" s="5"/>
      <c r="I801" s="6"/>
      <c r="J801" s="6"/>
      <c r="K801" s="6"/>
    </row>
    <row r="802" spans="2:11" x14ac:dyDescent="0.3">
      <c r="B802" s="3"/>
      <c r="C802" s="7"/>
      <c r="D802" s="7"/>
      <c r="E802" s="6"/>
      <c r="F802" s="5"/>
      <c r="I802" s="6"/>
      <c r="J802" s="6"/>
      <c r="K802" s="6"/>
    </row>
    <row r="803" spans="2:11" x14ac:dyDescent="0.3">
      <c r="B803" s="3"/>
      <c r="C803" s="7"/>
      <c r="D803" s="7"/>
      <c r="E803" s="6"/>
      <c r="F803" s="5"/>
      <c r="I803" s="6"/>
      <c r="J803" s="6"/>
      <c r="K803" s="6"/>
    </row>
    <row r="804" spans="2:11" x14ac:dyDescent="0.3">
      <c r="B804" s="3"/>
      <c r="C804" s="7"/>
      <c r="D804" s="7"/>
      <c r="E804" s="6"/>
      <c r="F804" s="5"/>
      <c r="I804" s="6"/>
      <c r="J804" s="6"/>
      <c r="K804" s="6"/>
    </row>
    <row r="805" spans="2:11" x14ac:dyDescent="0.3">
      <c r="B805" s="3"/>
      <c r="C805" s="7"/>
      <c r="D805" s="7"/>
      <c r="E805" s="6"/>
      <c r="F805" s="5"/>
      <c r="I805" s="6"/>
      <c r="J805" s="6"/>
      <c r="K805" s="6"/>
    </row>
    <row r="806" spans="2:11" x14ac:dyDescent="0.3">
      <c r="B806" s="3"/>
      <c r="C806" s="7"/>
      <c r="D806" s="7"/>
      <c r="E806" s="6"/>
      <c r="F806" s="5"/>
      <c r="I806" s="6"/>
      <c r="J806" s="6"/>
      <c r="K806" s="6"/>
    </row>
    <row r="807" spans="2:11" x14ac:dyDescent="0.3">
      <c r="B807" s="3"/>
      <c r="C807" s="7"/>
      <c r="D807" s="7"/>
      <c r="E807" s="6"/>
      <c r="F807" s="5"/>
      <c r="I807" s="6"/>
      <c r="J807" s="6"/>
      <c r="K807" s="6"/>
    </row>
    <row r="808" spans="2:11" x14ac:dyDescent="0.3">
      <c r="B808" s="3"/>
      <c r="C808" s="7"/>
      <c r="D808" s="7"/>
      <c r="E808" s="6"/>
      <c r="F808" s="5"/>
      <c r="I808" s="6"/>
      <c r="J808" s="6"/>
      <c r="K808" s="6"/>
    </row>
    <row r="809" spans="2:11" x14ac:dyDescent="0.3">
      <c r="B809" s="3"/>
      <c r="C809" s="7"/>
      <c r="D809" s="7"/>
      <c r="E809" s="6"/>
      <c r="F809" s="5"/>
      <c r="I809" s="6"/>
      <c r="J809" s="6"/>
      <c r="K809" s="6"/>
    </row>
    <row r="810" spans="2:11" x14ac:dyDescent="0.3">
      <c r="B810" s="3"/>
      <c r="C810" s="7"/>
      <c r="D810" s="7"/>
      <c r="E810" s="6"/>
      <c r="F810" s="5"/>
      <c r="I810" s="6"/>
      <c r="J810" s="6"/>
      <c r="K810" s="6"/>
    </row>
    <row r="811" spans="2:11" x14ac:dyDescent="0.3">
      <c r="B811" s="3"/>
      <c r="C811" s="7"/>
      <c r="D811" s="7"/>
      <c r="E811" s="6"/>
      <c r="F811" s="5"/>
      <c r="I811" s="6"/>
      <c r="J811" s="6"/>
      <c r="K811" s="6"/>
    </row>
    <row r="812" spans="2:11" x14ac:dyDescent="0.3">
      <c r="B812" s="3"/>
      <c r="C812" s="7"/>
      <c r="D812" s="7"/>
      <c r="E812" s="6"/>
      <c r="F812" s="5"/>
      <c r="I812" s="6"/>
      <c r="J812" s="6"/>
      <c r="K812" s="6"/>
    </row>
    <row r="813" spans="2:11" x14ac:dyDescent="0.3">
      <c r="B813" s="3"/>
      <c r="C813" s="7"/>
      <c r="D813" s="7"/>
      <c r="E813" s="6"/>
      <c r="F813" s="5"/>
      <c r="I813" s="6"/>
      <c r="J813" s="6"/>
      <c r="K813" s="6"/>
    </row>
    <row r="814" spans="2:11" x14ac:dyDescent="0.3">
      <c r="B814" s="3"/>
      <c r="C814" s="7"/>
      <c r="D814" s="7"/>
      <c r="E814" s="6"/>
      <c r="F814" s="5"/>
      <c r="I814" s="6"/>
      <c r="J814" s="6"/>
      <c r="K814" s="6"/>
    </row>
    <row r="815" spans="2:11" x14ac:dyDescent="0.3">
      <c r="B815" s="3"/>
      <c r="C815" s="7"/>
      <c r="D815" s="7"/>
      <c r="E815" s="6"/>
      <c r="F815" s="5"/>
      <c r="I815" s="6"/>
      <c r="J815" s="6"/>
      <c r="K815" s="6"/>
    </row>
    <row r="816" spans="2:11" x14ac:dyDescent="0.3">
      <c r="B816" s="3"/>
      <c r="C816" s="7"/>
      <c r="D816" s="7"/>
      <c r="E816" s="6"/>
      <c r="F816" s="5"/>
      <c r="I816" s="6"/>
      <c r="J816" s="6"/>
      <c r="K816" s="6"/>
    </row>
    <row r="817" spans="2:11" x14ac:dyDescent="0.3">
      <c r="B817" s="3"/>
      <c r="C817" s="7"/>
      <c r="D817" s="7"/>
      <c r="E817" s="6"/>
      <c r="F817" s="5"/>
      <c r="I817" s="6"/>
      <c r="J817" s="6"/>
      <c r="K817" s="6"/>
    </row>
    <row r="818" spans="2:11" x14ac:dyDescent="0.3">
      <c r="B818" s="3"/>
      <c r="C818" s="7"/>
      <c r="D818" s="7"/>
      <c r="E818" s="6"/>
      <c r="F818" s="5"/>
      <c r="I818" s="6"/>
      <c r="J818" s="6"/>
      <c r="K818" s="6"/>
    </row>
    <row r="819" spans="2:11" x14ac:dyDescent="0.3">
      <c r="B819" s="3"/>
      <c r="C819" s="7"/>
      <c r="D819" s="7"/>
      <c r="E819" s="6"/>
      <c r="F819" s="5"/>
      <c r="I819" s="6"/>
      <c r="J819" s="6"/>
      <c r="K819" s="6"/>
    </row>
    <row r="820" spans="2:11" x14ac:dyDescent="0.3">
      <c r="B820" s="3"/>
      <c r="C820" s="7"/>
      <c r="D820" s="7"/>
      <c r="E820" s="6"/>
      <c r="F820" s="5"/>
      <c r="I820" s="6"/>
      <c r="J820" s="6"/>
      <c r="K820" s="6"/>
    </row>
    <row r="821" spans="2:11" x14ac:dyDescent="0.3">
      <c r="B821" s="3"/>
      <c r="C821" s="7"/>
      <c r="D821" s="7"/>
      <c r="E821" s="6"/>
      <c r="F821" s="5"/>
      <c r="I821" s="6"/>
      <c r="J821" s="6"/>
      <c r="K821" s="6"/>
    </row>
    <row r="822" spans="2:11" x14ac:dyDescent="0.3">
      <c r="B822" s="3"/>
      <c r="C822" s="7"/>
      <c r="D822" s="7"/>
      <c r="E822" s="6"/>
      <c r="F822" s="5"/>
      <c r="I822" s="6"/>
      <c r="J822" s="6"/>
      <c r="K822" s="6"/>
    </row>
    <row r="823" spans="2:11" x14ac:dyDescent="0.3">
      <c r="B823" s="3"/>
      <c r="C823" s="7"/>
      <c r="D823" s="7"/>
      <c r="E823" s="6"/>
      <c r="F823" s="5"/>
      <c r="I823" s="6"/>
      <c r="J823" s="6"/>
      <c r="K823" s="6"/>
    </row>
    <row r="824" spans="2:11" x14ac:dyDescent="0.3">
      <c r="B824" s="3"/>
      <c r="C824" s="7"/>
      <c r="D824" s="7"/>
      <c r="E824" s="6"/>
      <c r="F824" s="5"/>
      <c r="I824" s="6"/>
      <c r="J824" s="6"/>
      <c r="K824" s="6"/>
    </row>
    <row r="825" spans="2:11" x14ac:dyDescent="0.3">
      <c r="B825" s="3"/>
      <c r="C825" s="7"/>
      <c r="D825" s="7"/>
      <c r="E825" s="6"/>
      <c r="F825" s="5"/>
      <c r="I825" s="6"/>
      <c r="J825" s="6"/>
      <c r="K825" s="6"/>
    </row>
    <row r="826" spans="2:11" x14ac:dyDescent="0.3">
      <c r="B826" s="3"/>
      <c r="C826" s="7"/>
      <c r="D826" s="7"/>
      <c r="E826" s="6"/>
      <c r="F826" s="5"/>
      <c r="I826" s="6"/>
      <c r="J826" s="6"/>
      <c r="K826" s="6"/>
    </row>
    <row r="827" spans="2:11" x14ac:dyDescent="0.3">
      <c r="B827" s="3"/>
      <c r="C827" s="7"/>
      <c r="D827" s="7"/>
      <c r="E827" s="6"/>
      <c r="F827" s="5"/>
      <c r="I827" s="6"/>
      <c r="J827" s="6"/>
      <c r="K827" s="6"/>
    </row>
    <row r="828" spans="2:11" x14ac:dyDescent="0.3">
      <c r="B828" s="3"/>
      <c r="C828" s="7"/>
      <c r="D828" s="7"/>
      <c r="E828" s="6"/>
      <c r="F828" s="5"/>
      <c r="I828" s="6"/>
      <c r="J828" s="6"/>
      <c r="K828" s="6"/>
    </row>
    <row r="829" spans="2:11" x14ac:dyDescent="0.3">
      <c r="B829" s="3"/>
      <c r="C829" s="7"/>
      <c r="D829" s="7"/>
      <c r="E829" s="6"/>
      <c r="F829" s="5"/>
      <c r="I829" s="6"/>
      <c r="J829" s="6"/>
      <c r="K829" s="6"/>
    </row>
    <row r="830" spans="2:11" x14ac:dyDescent="0.3">
      <c r="B830" s="3"/>
      <c r="C830" s="7"/>
      <c r="D830" s="7"/>
      <c r="E830" s="6"/>
      <c r="F830" s="5"/>
      <c r="I830" s="6"/>
      <c r="J830" s="6"/>
      <c r="K830" s="6"/>
    </row>
    <row r="831" spans="2:11" x14ac:dyDescent="0.3">
      <c r="B831" s="3"/>
      <c r="C831" s="7"/>
      <c r="D831" s="7"/>
      <c r="E831" s="6"/>
      <c r="F831" s="5"/>
      <c r="I831" s="6"/>
      <c r="J831" s="6"/>
      <c r="K831" s="6"/>
    </row>
    <row r="832" spans="2:11" x14ac:dyDescent="0.3">
      <c r="B832" s="3"/>
      <c r="C832" s="7"/>
      <c r="D832" s="7"/>
      <c r="E832" s="6"/>
      <c r="F832" s="5"/>
      <c r="I832" s="6"/>
      <c r="J832" s="6"/>
      <c r="K832" s="6"/>
    </row>
    <row r="833" spans="2:11" x14ac:dyDescent="0.3">
      <c r="B833" s="3"/>
      <c r="C833" s="7"/>
      <c r="D833" s="7"/>
      <c r="E833" s="6"/>
      <c r="F833" s="5"/>
      <c r="I833" s="6"/>
      <c r="J833" s="6"/>
      <c r="K833" s="6"/>
    </row>
    <row r="834" spans="2:11" x14ac:dyDescent="0.3">
      <c r="B834" s="3"/>
      <c r="C834" s="7"/>
      <c r="D834" s="7"/>
      <c r="E834" s="6"/>
      <c r="F834" s="5"/>
      <c r="I834" s="6"/>
      <c r="J834" s="6"/>
      <c r="K834" s="6"/>
    </row>
    <row r="835" spans="2:11" x14ac:dyDescent="0.3">
      <c r="B835" s="3"/>
      <c r="C835" s="7"/>
      <c r="D835" s="7"/>
      <c r="E835" s="6"/>
      <c r="F835" s="5"/>
      <c r="I835" s="6"/>
      <c r="J835" s="6"/>
      <c r="K835" s="6"/>
    </row>
    <row r="836" spans="2:11" x14ac:dyDescent="0.3">
      <c r="B836" s="3"/>
      <c r="C836" s="7"/>
      <c r="D836" s="7"/>
      <c r="E836" s="6"/>
      <c r="F836" s="5"/>
      <c r="I836" s="6"/>
      <c r="J836" s="6"/>
      <c r="K836" s="6"/>
    </row>
    <row r="837" spans="2:11" x14ac:dyDescent="0.3">
      <c r="B837" s="3"/>
      <c r="C837" s="7"/>
      <c r="D837" s="7"/>
      <c r="E837" s="6"/>
      <c r="F837" s="5"/>
      <c r="I837" s="6"/>
      <c r="J837" s="6"/>
      <c r="K837" s="6"/>
    </row>
    <row r="838" spans="2:11" x14ac:dyDescent="0.3">
      <c r="B838" s="3"/>
      <c r="C838" s="7"/>
      <c r="D838" s="7"/>
      <c r="E838" s="6"/>
      <c r="F838" s="5"/>
      <c r="I838" s="6"/>
      <c r="J838" s="6"/>
      <c r="K838" s="6"/>
    </row>
    <row r="839" spans="2:11" x14ac:dyDescent="0.3">
      <c r="B839" s="3"/>
      <c r="C839" s="7"/>
      <c r="D839" s="7"/>
      <c r="E839" s="6"/>
      <c r="F839" s="5"/>
      <c r="I839" s="6"/>
      <c r="J839" s="6"/>
      <c r="K839" s="6"/>
    </row>
    <row r="840" spans="2:11" x14ac:dyDescent="0.3">
      <c r="B840" s="3"/>
      <c r="C840" s="7"/>
      <c r="D840" s="7"/>
      <c r="E840" s="6"/>
      <c r="F840" s="5"/>
      <c r="I840" s="6"/>
      <c r="J840" s="6"/>
      <c r="K840" s="6"/>
    </row>
    <row r="841" spans="2:11" x14ac:dyDescent="0.3">
      <c r="B841" s="3"/>
      <c r="C841" s="7"/>
      <c r="D841" s="7"/>
      <c r="E841" s="6"/>
      <c r="F841" s="5"/>
      <c r="I841" s="6"/>
      <c r="J841" s="6"/>
      <c r="K841" s="6"/>
    </row>
    <row r="842" spans="2:11" x14ac:dyDescent="0.3">
      <c r="B842" s="3"/>
      <c r="C842" s="7"/>
      <c r="D842" s="7"/>
      <c r="E842" s="6"/>
      <c r="F842" s="5"/>
      <c r="I842" s="6"/>
      <c r="J842" s="6"/>
      <c r="K842" s="6"/>
    </row>
    <row r="843" spans="2:11" x14ac:dyDescent="0.3">
      <c r="B843" s="3"/>
      <c r="C843" s="7"/>
      <c r="D843" s="7"/>
      <c r="E843" s="6"/>
      <c r="F843" s="5"/>
      <c r="I843" s="6"/>
      <c r="J843" s="6"/>
      <c r="K843" s="6"/>
    </row>
    <row r="844" spans="2:11" x14ac:dyDescent="0.3">
      <c r="B844" s="3"/>
      <c r="C844" s="7"/>
      <c r="D844" s="7"/>
      <c r="E844" s="6"/>
      <c r="F844" s="5"/>
      <c r="I844" s="6"/>
      <c r="J844" s="6"/>
      <c r="K844" s="6"/>
    </row>
    <row r="845" spans="2:11" x14ac:dyDescent="0.3">
      <c r="B845" s="3"/>
      <c r="C845" s="7"/>
      <c r="D845" s="7"/>
      <c r="E845" s="6"/>
      <c r="F845" s="5"/>
      <c r="I845" s="6"/>
      <c r="J845" s="6"/>
      <c r="K845" s="6"/>
    </row>
    <row r="846" spans="2:11" x14ac:dyDescent="0.3">
      <c r="B846" s="3"/>
      <c r="C846" s="7"/>
      <c r="D846" s="7"/>
      <c r="E846" s="6"/>
      <c r="F846" s="5"/>
      <c r="I846" s="6"/>
      <c r="J846" s="6"/>
      <c r="K846" s="6"/>
    </row>
    <row r="847" spans="2:11" x14ac:dyDescent="0.3">
      <c r="B847" s="3"/>
      <c r="C847" s="7"/>
      <c r="D847" s="7"/>
      <c r="E847" s="6"/>
      <c r="F847" s="5"/>
      <c r="I847" s="6"/>
      <c r="J847" s="6"/>
      <c r="K847" s="6"/>
    </row>
    <row r="848" spans="2:11" x14ac:dyDescent="0.3">
      <c r="B848" s="3"/>
      <c r="C848" s="7"/>
      <c r="D848" s="7"/>
      <c r="E848" s="6"/>
      <c r="F848" s="5"/>
      <c r="I848" s="6"/>
      <c r="J848" s="6"/>
      <c r="K848" s="6"/>
    </row>
    <row r="849" spans="2:11" x14ac:dyDescent="0.3">
      <c r="B849" s="3"/>
      <c r="C849" s="7"/>
      <c r="D849" s="7"/>
      <c r="E849" s="6"/>
      <c r="F849" s="5"/>
      <c r="I849" s="6"/>
      <c r="J849" s="6"/>
      <c r="K849" s="6"/>
    </row>
    <row r="850" spans="2:11" x14ac:dyDescent="0.3">
      <c r="B850" s="3"/>
      <c r="C850" s="7"/>
      <c r="D850" s="7"/>
      <c r="E850" s="6"/>
      <c r="F850" s="5"/>
      <c r="I850" s="6"/>
      <c r="J850" s="6"/>
      <c r="K850" s="6"/>
    </row>
    <row r="851" spans="2:11" x14ac:dyDescent="0.3">
      <c r="B851" s="3"/>
      <c r="C851" s="7"/>
      <c r="D851" s="7"/>
      <c r="E851" s="6"/>
      <c r="F851" s="5"/>
      <c r="I851" s="6"/>
      <c r="J851" s="6"/>
      <c r="K851" s="6"/>
    </row>
    <row r="852" spans="2:11" x14ac:dyDescent="0.3">
      <c r="B852" s="3"/>
      <c r="C852" s="7"/>
      <c r="D852" s="7"/>
      <c r="E852" s="6"/>
      <c r="F852" s="5"/>
      <c r="I852" s="6"/>
      <c r="J852" s="6"/>
      <c r="K852" s="6"/>
    </row>
    <row r="853" spans="2:11" x14ac:dyDescent="0.3">
      <c r="B853" s="3"/>
      <c r="C853" s="7"/>
      <c r="D853" s="7"/>
      <c r="E853" s="6"/>
      <c r="F853" s="5"/>
      <c r="I853" s="6"/>
      <c r="J853" s="6"/>
      <c r="K853" s="6"/>
    </row>
    <row r="854" spans="2:11" x14ac:dyDescent="0.3">
      <c r="B854" s="3"/>
      <c r="C854" s="7"/>
      <c r="D854" s="7"/>
      <c r="E854" s="6"/>
      <c r="F854" s="5"/>
      <c r="I854" s="6"/>
      <c r="J854" s="6"/>
      <c r="K854" s="6"/>
    </row>
    <row r="855" spans="2:11" x14ac:dyDescent="0.3">
      <c r="B855" s="3"/>
      <c r="C855" s="7"/>
      <c r="D855" s="7"/>
      <c r="E855" s="6"/>
      <c r="F855" s="5"/>
      <c r="I855" s="6"/>
      <c r="J855" s="6"/>
      <c r="K855" s="6"/>
    </row>
    <row r="856" spans="2:11" x14ac:dyDescent="0.3">
      <c r="B856" s="3"/>
      <c r="C856" s="7"/>
      <c r="D856" s="7"/>
      <c r="E856" s="6"/>
      <c r="F856" s="5"/>
      <c r="I856" s="6"/>
      <c r="J856" s="6"/>
      <c r="K856" s="6"/>
    </row>
    <row r="857" spans="2:11" x14ac:dyDescent="0.3">
      <c r="B857" s="3"/>
      <c r="C857" s="7"/>
      <c r="D857" s="7"/>
      <c r="E857" s="6"/>
      <c r="F857" s="5"/>
      <c r="I857" s="6"/>
      <c r="J857" s="6"/>
      <c r="K857" s="6"/>
    </row>
    <row r="858" spans="2:11" x14ac:dyDescent="0.3">
      <c r="B858" s="3"/>
      <c r="C858" s="7"/>
      <c r="D858" s="7"/>
      <c r="E858" s="6"/>
      <c r="F858" s="5"/>
      <c r="I858" s="6"/>
      <c r="J858" s="6"/>
      <c r="K858" s="6"/>
    </row>
    <row r="859" spans="2:11" x14ac:dyDescent="0.3">
      <c r="B859" s="3"/>
      <c r="C859" s="7"/>
      <c r="D859" s="7"/>
      <c r="E859" s="6"/>
      <c r="F859" s="5"/>
      <c r="I859" s="6"/>
      <c r="J859" s="6"/>
      <c r="K859" s="6"/>
    </row>
    <row r="860" spans="2:11" x14ac:dyDescent="0.3">
      <c r="B860" s="3"/>
      <c r="C860" s="7"/>
      <c r="D860" s="7"/>
      <c r="E860" s="6"/>
      <c r="F860" s="5"/>
      <c r="I860" s="6"/>
      <c r="J860" s="6"/>
      <c r="K860" s="6"/>
    </row>
    <row r="861" spans="2:11" x14ac:dyDescent="0.3">
      <c r="B861" s="3"/>
      <c r="C861" s="7"/>
      <c r="D861" s="7"/>
      <c r="E861" s="6"/>
      <c r="F861" s="5"/>
      <c r="I861" s="6"/>
      <c r="J861" s="6"/>
      <c r="K861" s="6"/>
    </row>
    <row r="862" spans="2:11" x14ac:dyDescent="0.3">
      <c r="B862" s="3"/>
      <c r="C862" s="7"/>
      <c r="D862" s="7"/>
      <c r="E862" s="6"/>
      <c r="F862" s="5"/>
      <c r="I862" s="6"/>
      <c r="J862" s="6"/>
      <c r="K862" s="6"/>
    </row>
    <row r="863" spans="2:11" x14ac:dyDescent="0.3">
      <c r="B863" s="3"/>
      <c r="C863" s="7"/>
      <c r="D863" s="7"/>
      <c r="E863" s="6"/>
      <c r="F863" s="5"/>
      <c r="I863" s="6"/>
      <c r="J863" s="6"/>
      <c r="K863" s="6"/>
    </row>
    <row r="864" spans="2:11" x14ac:dyDescent="0.3">
      <c r="B864" s="3"/>
      <c r="C864" s="7"/>
      <c r="D864" s="7"/>
      <c r="E864" s="6"/>
      <c r="F864" s="5"/>
      <c r="I864" s="6"/>
      <c r="J864" s="6"/>
      <c r="K864" s="6"/>
    </row>
    <row r="865" spans="2:11" x14ac:dyDescent="0.3">
      <c r="B865" s="3"/>
      <c r="C865" s="7"/>
      <c r="D865" s="7"/>
      <c r="E865" s="6"/>
      <c r="F865" s="5"/>
      <c r="I865" s="6"/>
      <c r="J865" s="6"/>
      <c r="K865" s="6"/>
    </row>
    <row r="866" spans="2:11" x14ac:dyDescent="0.3">
      <c r="B866" s="3"/>
      <c r="C866" s="7"/>
      <c r="D866" s="7"/>
      <c r="E866" s="6"/>
      <c r="F866" s="5"/>
      <c r="I866" s="6"/>
      <c r="J866" s="6"/>
      <c r="K866" s="6"/>
    </row>
    <row r="867" spans="2:11" x14ac:dyDescent="0.3">
      <c r="B867" s="3"/>
      <c r="C867" s="7"/>
      <c r="D867" s="7"/>
      <c r="E867" s="6"/>
      <c r="F867" s="5"/>
      <c r="I867" s="6"/>
      <c r="J867" s="6"/>
      <c r="K867" s="6"/>
    </row>
    <row r="868" spans="2:11" x14ac:dyDescent="0.3">
      <c r="B868" s="3"/>
      <c r="C868" s="7"/>
      <c r="D868" s="7"/>
      <c r="E868" s="6"/>
      <c r="F868" s="5"/>
      <c r="I868" s="6"/>
      <c r="J868" s="6"/>
      <c r="K868" s="6"/>
    </row>
    <row r="869" spans="2:11" x14ac:dyDescent="0.3">
      <c r="B869" s="3"/>
      <c r="C869" s="7"/>
      <c r="D869" s="7"/>
      <c r="E869" s="6"/>
      <c r="F869" s="5"/>
      <c r="I869" s="6"/>
      <c r="J869" s="6"/>
      <c r="K869" s="6"/>
    </row>
    <row r="870" spans="2:11" x14ac:dyDescent="0.3">
      <c r="B870" s="3"/>
      <c r="C870" s="7"/>
      <c r="D870" s="7"/>
      <c r="E870" s="6"/>
      <c r="F870" s="5"/>
      <c r="I870" s="6"/>
      <c r="J870" s="6"/>
      <c r="K870" s="6"/>
    </row>
    <row r="871" spans="2:11" x14ac:dyDescent="0.3">
      <c r="B871" s="3"/>
      <c r="C871" s="7"/>
      <c r="D871" s="7"/>
      <c r="E871" s="6"/>
      <c r="F871" s="5"/>
      <c r="I871" s="6"/>
      <c r="J871" s="6"/>
      <c r="K871" s="6"/>
    </row>
    <row r="872" spans="2:11" x14ac:dyDescent="0.3">
      <c r="B872" s="3"/>
      <c r="C872" s="7"/>
      <c r="D872" s="7"/>
      <c r="E872" s="6"/>
      <c r="F872" s="5"/>
      <c r="I872" s="6"/>
      <c r="J872" s="6"/>
      <c r="K872" s="6"/>
    </row>
    <row r="873" spans="2:11" x14ac:dyDescent="0.3">
      <c r="B873" s="3"/>
      <c r="C873" s="7"/>
      <c r="D873" s="7"/>
      <c r="E873" s="6"/>
      <c r="F873" s="5"/>
      <c r="I873" s="6"/>
      <c r="J873" s="6"/>
      <c r="K873" s="6"/>
    </row>
    <row r="874" spans="2:11" x14ac:dyDescent="0.3">
      <c r="B874" s="3"/>
      <c r="C874" s="7"/>
      <c r="D874" s="7"/>
      <c r="E874" s="6"/>
      <c r="F874" s="5"/>
      <c r="I874" s="6"/>
      <c r="J874" s="6"/>
      <c r="K874" s="6"/>
    </row>
    <row r="875" spans="2:11" x14ac:dyDescent="0.3">
      <c r="B875" s="3"/>
      <c r="C875" s="7"/>
      <c r="D875" s="7"/>
      <c r="E875" s="6"/>
      <c r="F875" s="5"/>
      <c r="I875" s="6"/>
      <c r="J875" s="6"/>
      <c r="K875" s="6"/>
    </row>
    <row r="876" spans="2:11" x14ac:dyDescent="0.3">
      <c r="B876" s="3"/>
      <c r="C876" s="7"/>
      <c r="D876" s="7"/>
      <c r="E876" s="6"/>
      <c r="F876" s="5"/>
      <c r="I876" s="6"/>
      <c r="J876" s="6"/>
      <c r="K876" s="6"/>
    </row>
    <row r="877" spans="2:11" x14ac:dyDescent="0.3">
      <c r="B877" s="3"/>
      <c r="C877" s="7"/>
      <c r="D877" s="7"/>
      <c r="E877" s="6"/>
      <c r="F877" s="5"/>
      <c r="I877" s="6"/>
      <c r="J877" s="6"/>
      <c r="K877" s="6"/>
    </row>
    <row r="878" spans="2:11" x14ac:dyDescent="0.3">
      <c r="B878" s="3"/>
      <c r="C878" s="7"/>
      <c r="D878" s="7"/>
      <c r="E878" s="6"/>
      <c r="F878" s="5"/>
      <c r="I878" s="6"/>
      <c r="J878" s="6"/>
      <c r="K878" s="6"/>
    </row>
    <row r="879" spans="2:11" x14ac:dyDescent="0.3">
      <c r="B879" s="3"/>
      <c r="C879" s="7"/>
      <c r="D879" s="7"/>
      <c r="E879" s="6"/>
      <c r="F879" s="5"/>
      <c r="I879" s="6"/>
      <c r="J879" s="6"/>
      <c r="K879" s="6"/>
    </row>
    <row r="880" spans="2:11" x14ac:dyDescent="0.3">
      <c r="B880" s="3"/>
      <c r="C880" s="7"/>
      <c r="D880" s="7"/>
      <c r="E880" s="6"/>
      <c r="F880" s="5"/>
      <c r="I880" s="6"/>
      <c r="J880" s="6"/>
      <c r="K880" s="6"/>
    </row>
    <row r="881" spans="2:11" x14ac:dyDescent="0.3">
      <c r="B881" s="3"/>
      <c r="C881" s="7"/>
      <c r="D881" s="7"/>
      <c r="E881" s="6"/>
      <c r="F881" s="5"/>
      <c r="I881" s="6"/>
      <c r="J881" s="6"/>
      <c r="K881" s="6"/>
    </row>
    <row r="882" spans="2:11" x14ac:dyDescent="0.3">
      <c r="B882" s="3"/>
      <c r="C882" s="7"/>
      <c r="D882" s="7"/>
      <c r="E882" s="6"/>
      <c r="F882" s="5"/>
      <c r="I882" s="6"/>
      <c r="J882" s="6"/>
      <c r="K882" s="6"/>
    </row>
    <row r="883" spans="2:11" x14ac:dyDescent="0.3">
      <c r="B883" s="3"/>
      <c r="C883" s="7"/>
      <c r="D883" s="7"/>
      <c r="E883" s="6"/>
      <c r="F883" s="5"/>
      <c r="I883" s="6"/>
      <c r="J883" s="6"/>
      <c r="K883" s="6"/>
    </row>
    <row r="884" spans="2:11" x14ac:dyDescent="0.3">
      <c r="B884" s="3"/>
      <c r="C884" s="7"/>
      <c r="D884" s="7"/>
      <c r="E884" s="6"/>
      <c r="F884" s="5"/>
      <c r="I884" s="6"/>
      <c r="J884" s="6"/>
      <c r="K884" s="6"/>
    </row>
    <row r="885" spans="2:11" x14ac:dyDescent="0.3">
      <c r="B885" s="3"/>
      <c r="C885" s="7"/>
      <c r="D885" s="7"/>
      <c r="E885" s="6"/>
      <c r="F885" s="5"/>
      <c r="I885" s="6"/>
      <c r="J885" s="6"/>
      <c r="K885" s="6"/>
    </row>
    <row r="886" spans="2:11" x14ac:dyDescent="0.3">
      <c r="B886" s="3"/>
      <c r="C886" s="7"/>
      <c r="D886" s="7"/>
      <c r="E886" s="6"/>
      <c r="F886" s="5"/>
      <c r="I886" s="6"/>
      <c r="J886" s="6"/>
      <c r="K886" s="6"/>
    </row>
    <row r="887" spans="2:11" x14ac:dyDescent="0.3">
      <c r="B887" s="3"/>
      <c r="C887" s="7"/>
      <c r="D887" s="7"/>
      <c r="E887" s="6"/>
      <c r="F887" s="5"/>
      <c r="I887" s="6"/>
      <c r="J887" s="6"/>
      <c r="K887" s="6"/>
    </row>
    <row r="888" spans="2:11" x14ac:dyDescent="0.3">
      <c r="B888" s="3"/>
      <c r="C888" s="7"/>
      <c r="D888" s="7"/>
      <c r="E888" s="6"/>
      <c r="F888" s="5"/>
      <c r="I888" s="6"/>
      <c r="J888" s="6"/>
      <c r="K888" s="6"/>
    </row>
    <row r="889" spans="2:11" x14ac:dyDescent="0.3">
      <c r="B889" s="3"/>
      <c r="C889" s="7"/>
      <c r="D889" s="7"/>
      <c r="E889" s="6"/>
      <c r="F889" s="5"/>
      <c r="I889" s="6"/>
      <c r="J889" s="6"/>
      <c r="K889" s="6"/>
    </row>
    <row r="890" spans="2:11" x14ac:dyDescent="0.3">
      <c r="B890" s="3"/>
      <c r="C890" s="7"/>
      <c r="D890" s="7"/>
      <c r="E890" s="6"/>
      <c r="F890" s="5"/>
      <c r="I890" s="6"/>
      <c r="J890" s="6"/>
      <c r="K890" s="6"/>
    </row>
    <row r="891" spans="2:11" x14ac:dyDescent="0.3">
      <c r="B891" s="3"/>
      <c r="C891" s="7"/>
      <c r="D891" s="7"/>
      <c r="E891" s="6"/>
      <c r="F891" s="5"/>
      <c r="I891" s="6"/>
      <c r="J891" s="6"/>
      <c r="K891" s="6"/>
    </row>
    <row r="892" spans="2:11" x14ac:dyDescent="0.3">
      <c r="B892" s="3"/>
      <c r="C892" s="7"/>
      <c r="D892" s="7"/>
      <c r="E892" s="6"/>
      <c r="F892" s="5"/>
      <c r="I892" s="6"/>
      <c r="J892" s="6"/>
      <c r="K892" s="6"/>
    </row>
    <row r="893" spans="2:11" x14ac:dyDescent="0.3">
      <c r="B893" s="3"/>
      <c r="C893" s="7"/>
      <c r="D893" s="7"/>
      <c r="E893" s="6"/>
      <c r="F893" s="5"/>
      <c r="I893" s="6"/>
      <c r="J893" s="6"/>
      <c r="K893" s="6"/>
    </row>
    <row r="894" spans="2:11" x14ac:dyDescent="0.3">
      <c r="B894" s="3"/>
      <c r="C894" s="7"/>
      <c r="D894" s="7"/>
      <c r="E894" s="6"/>
      <c r="F894" s="5"/>
      <c r="I894" s="6"/>
      <c r="J894" s="6"/>
      <c r="K894" s="6"/>
    </row>
    <row r="895" spans="2:11" x14ac:dyDescent="0.3">
      <c r="B895" s="3"/>
      <c r="C895" s="7"/>
      <c r="D895" s="7"/>
      <c r="E895" s="6"/>
      <c r="F895" s="5"/>
      <c r="I895" s="6"/>
      <c r="J895" s="6"/>
      <c r="K895" s="6"/>
    </row>
    <row r="896" spans="2:11" x14ac:dyDescent="0.3">
      <c r="B896" s="3"/>
      <c r="C896" s="7"/>
      <c r="D896" s="7"/>
      <c r="E896" s="6"/>
      <c r="F896" s="5"/>
      <c r="I896" s="6"/>
      <c r="J896" s="6"/>
      <c r="K896" s="6"/>
    </row>
    <row r="897" spans="2:11" x14ac:dyDescent="0.3">
      <c r="B897" s="3"/>
      <c r="C897" s="7"/>
      <c r="D897" s="7"/>
      <c r="E897" s="6"/>
      <c r="F897" s="5"/>
      <c r="I897" s="6"/>
      <c r="J897" s="6"/>
      <c r="K897" s="6"/>
    </row>
    <row r="898" spans="2:11" x14ac:dyDescent="0.3">
      <c r="B898" s="3"/>
      <c r="C898" s="7"/>
      <c r="D898" s="7"/>
      <c r="E898" s="6"/>
      <c r="F898" s="5"/>
      <c r="I898" s="6"/>
      <c r="J898" s="6"/>
      <c r="K898" s="6"/>
    </row>
    <row r="899" spans="2:11" x14ac:dyDescent="0.3">
      <c r="B899" s="3"/>
      <c r="C899" s="7"/>
      <c r="D899" s="7"/>
      <c r="E899" s="6"/>
      <c r="F899" s="5"/>
      <c r="I899" s="6"/>
      <c r="J899" s="6"/>
      <c r="K899" s="6"/>
    </row>
    <row r="900" spans="2:11" x14ac:dyDescent="0.3">
      <c r="B900" s="3"/>
      <c r="C900" s="7"/>
      <c r="D900" s="7"/>
      <c r="E900" s="6"/>
      <c r="F900" s="5"/>
      <c r="I900" s="6"/>
      <c r="J900" s="6"/>
      <c r="K900" s="6"/>
    </row>
    <row r="901" spans="2:11" x14ac:dyDescent="0.3">
      <c r="B901" s="3"/>
      <c r="C901" s="7"/>
      <c r="D901" s="7"/>
      <c r="E901" s="6"/>
      <c r="F901" s="5"/>
      <c r="I901" s="6"/>
      <c r="J901" s="6"/>
      <c r="K901" s="6"/>
    </row>
    <row r="902" spans="2:11" x14ac:dyDescent="0.3">
      <c r="B902" s="3"/>
      <c r="C902" s="7"/>
      <c r="D902" s="7"/>
      <c r="E902" s="6"/>
      <c r="F902" s="5"/>
      <c r="I902" s="6"/>
      <c r="J902" s="6"/>
      <c r="K902" s="6"/>
    </row>
    <row r="903" spans="2:11" x14ac:dyDescent="0.3">
      <c r="B903" s="3"/>
      <c r="C903" s="7"/>
      <c r="D903" s="7"/>
      <c r="E903" s="6"/>
      <c r="F903" s="5"/>
      <c r="I903" s="6"/>
      <c r="J903" s="6"/>
      <c r="K903" s="6"/>
    </row>
    <row r="904" spans="2:11" x14ac:dyDescent="0.3">
      <c r="B904" s="3"/>
      <c r="C904" s="7"/>
      <c r="D904" s="7"/>
      <c r="E904" s="6"/>
      <c r="F904" s="5"/>
      <c r="I904" s="6"/>
      <c r="J904" s="6"/>
      <c r="K904" s="6"/>
    </row>
    <row r="905" spans="2:11" x14ac:dyDescent="0.3">
      <c r="B905" s="3"/>
      <c r="C905" s="7"/>
      <c r="D905" s="7"/>
      <c r="E905" s="6"/>
      <c r="F905" s="5"/>
      <c r="I905" s="6"/>
      <c r="J905" s="6"/>
      <c r="K905" s="6"/>
    </row>
    <row r="906" spans="2:11" x14ac:dyDescent="0.3">
      <c r="B906" s="3"/>
      <c r="C906" s="7"/>
      <c r="D906" s="7"/>
      <c r="E906" s="6"/>
      <c r="F906" s="5"/>
      <c r="I906" s="6"/>
      <c r="J906" s="6"/>
      <c r="K906" s="6"/>
    </row>
    <row r="907" spans="2:11" x14ac:dyDescent="0.3">
      <c r="B907" s="3"/>
      <c r="C907" s="7"/>
      <c r="D907" s="7"/>
      <c r="E907" s="6"/>
      <c r="F907" s="5"/>
      <c r="I907" s="6"/>
      <c r="J907" s="6"/>
      <c r="K907" s="6"/>
    </row>
    <row r="908" spans="2:11" x14ac:dyDescent="0.3">
      <c r="B908" s="3"/>
      <c r="C908" s="7"/>
      <c r="D908" s="7"/>
      <c r="E908" s="6"/>
      <c r="F908" s="5"/>
      <c r="I908" s="6"/>
      <c r="J908" s="6"/>
      <c r="K908" s="6"/>
    </row>
    <row r="909" spans="2:11" x14ac:dyDescent="0.3">
      <c r="B909" s="3"/>
      <c r="C909" s="7"/>
      <c r="D909" s="7"/>
      <c r="E909" s="6"/>
      <c r="F909" s="5"/>
      <c r="I909" s="6"/>
      <c r="J909" s="6"/>
      <c r="K909" s="6"/>
    </row>
    <row r="910" spans="2:11" x14ac:dyDescent="0.3">
      <c r="B910" s="3"/>
      <c r="C910" s="7"/>
      <c r="D910" s="7"/>
      <c r="E910" s="6"/>
      <c r="F910" s="5"/>
      <c r="I910" s="6"/>
      <c r="J910" s="6"/>
      <c r="K910" s="6"/>
    </row>
    <row r="911" spans="2:11" x14ac:dyDescent="0.3">
      <c r="B911" s="3"/>
      <c r="C911" s="7"/>
      <c r="D911" s="7"/>
      <c r="E911" s="6"/>
      <c r="F911" s="5"/>
      <c r="I911" s="6"/>
      <c r="J911" s="6"/>
      <c r="K911" s="6"/>
    </row>
    <row r="912" spans="2:11" x14ac:dyDescent="0.3">
      <c r="B912" s="3"/>
      <c r="C912" s="7"/>
      <c r="D912" s="7"/>
      <c r="E912" s="6"/>
      <c r="F912" s="5"/>
      <c r="I912" s="6"/>
      <c r="J912" s="6"/>
      <c r="K912" s="6"/>
    </row>
    <row r="913" spans="2:11" x14ac:dyDescent="0.3">
      <c r="B913" s="3"/>
      <c r="C913" s="7"/>
      <c r="D913" s="7"/>
      <c r="E913" s="6"/>
      <c r="F913" s="5"/>
      <c r="I913" s="6"/>
      <c r="J913" s="6"/>
      <c r="K913" s="6"/>
    </row>
    <row r="914" spans="2:11" x14ac:dyDescent="0.3">
      <c r="B914" s="3"/>
      <c r="C914" s="7"/>
      <c r="D914" s="7"/>
      <c r="E914" s="6"/>
      <c r="F914" s="5"/>
      <c r="I914" s="6"/>
      <c r="J914" s="6"/>
      <c r="K914" s="6"/>
    </row>
    <row r="915" spans="2:11" x14ac:dyDescent="0.3">
      <c r="B915" s="3"/>
      <c r="C915" s="7"/>
      <c r="D915" s="7"/>
      <c r="E915" s="6"/>
      <c r="F915" s="5"/>
      <c r="I915" s="6"/>
      <c r="J915" s="6"/>
      <c r="K915" s="6"/>
    </row>
    <row r="916" spans="2:11" x14ac:dyDescent="0.3">
      <c r="B916" s="3"/>
      <c r="C916" s="7"/>
      <c r="D916" s="7"/>
      <c r="E916" s="6"/>
      <c r="F916" s="5"/>
      <c r="I916" s="6"/>
      <c r="J916" s="6"/>
      <c r="K916" s="6"/>
    </row>
    <row r="917" spans="2:11" x14ac:dyDescent="0.3">
      <c r="B917" s="3"/>
      <c r="C917" s="7"/>
      <c r="D917" s="7"/>
      <c r="E917" s="6"/>
      <c r="F917" s="5"/>
      <c r="I917" s="6"/>
      <c r="J917" s="6"/>
      <c r="K917" s="6"/>
    </row>
    <row r="918" spans="2:11" x14ac:dyDescent="0.3">
      <c r="B918" s="3"/>
      <c r="C918" s="7"/>
      <c r="D918" s="7"/>
      <c r="E918" s="6"/>
      <c r="F918" s="5"/>
      <c r="I918" s="6"/>
      <c r="J918" s="6"/>
      <c r="K918" s="6"/>
    </row>
    <row r="919" spans="2:11" x14ac:dyDescent="0.3">
      <c r="B919" s="3"/>
      <c r="C919" s="7"/>
      <c r="D919" s="7"/>
      <c r="E919" s="6"/>
      <c r="F919" s="5"/>
      <c r="I919" s="6"/>
      <c r="J919" s="6"/>
      <c r="K919" s="6"/>
    </row>
    <row r="920" spans="2:11" x14ac:dyDescent="0.3">
      <c r="B920" s="3"/>
      <c r="C920" s="7"/>
      <c r="D920" s="7"/>
      <c r="E920" s="6"/>
      <c r="F920" s="5"/>
      <c r="I920" s="6"/>
      <c r="J920" s="6"/>
      <c r="K920" s="6"/>
    </row>
    <row r="921" spans="2:11" x14ac:dyDescent="0.3">
      <c r="B921" s="3"/>
      <c r="C921" s="7"/>
      <c r="D921" s="7"/>
      <c r="E921" s="6"/>
      <c r="F921" s="5"/>
      <c r="I921" s="6"/>
      <c r="J921" s="6"/>
      <c r="K921" s="6"/>
    </row>
    <row r="922" spans="2:11" x14ac:dyDescent="0.3">
      <c r="B922" s="3"/>
      <c r="C922" s="7"/>
      <c r="D922" s="7"/>
      <c r="E922" s="6"/>
      <c r="F922" s="5"/>
      <c r="I922" s="6"/>
      <c r="J922" s="6"/>
      <c r="K922" s="6"/>
    </row>
    <row r="923" spans="2:11" x14ac:dyDescent="0.3">
      <c r="B923" s="3"/>
      <c r="C923" s="7"/>
      <c r="D923" s="7"/>
      <c r="E923" s="6"/>
      <c r="F923" s="5"/>
      <c r="I923" s="6"/>
      <c r="J923" s="6"/>
      <c r="K923" s="6"/>
    </row>
    <row r="924" spans="2:11" x14ac:dyDescent="0.3">
      <c r="B924" s="3"/>
      <c r="C924" s="7"/>
      <c r="D924" s="7"/>
      <c r="E924" s="6"/>
      <c r="F924" s="5"/>
      <c r="I924" s="6"/>
      <c r="J924" s="6"/>
      <c r="K924" s="6"/>
    </row>
    <row r="925" spans="2:11" x14ac:dyDescent="0.3">
      <c r="B925" s="3"/>
      <c r="C925" s="7"/>
      <c r="D925" s="7"/>
      <c r="E925" s="6"/>
      <c r="F925" s="5"/>
      <c r="I925" s="6"/>
      <c r="J925" s="6"/>
      <c r="K925" s="6"/>
    </row>
    <row r="926" spans="2:11" x14ac:dyDescent="0.3">
      <c r="B926" s="3"/>
      <c r="C926" s="7"/>
      <c r="D926" s="7"/>
      <c r="E926" s="6"/>
      <c r="F926" s="5"/>
      <c r="I926" s="6"/>
      <c r="J926" s="6"/>
      <c r="K926" s="6"/>
    </row>
    <row r="927" spans="2:11" x14ac:dyDescent="0.3">
      <c r="B927" s="3"/>
      <c r="C927" s="7"/>
      <c r="D927" s="7"/>
      <c r="E927" s="6"/>
      <c r="F927" s="5"/>
      <c r="I927" s="6"/>
      <c r="J927" s="6"/>
      <c r="K927" s="6"/>
    </row>
    <row r="928" spans="2:11" x14ac:dyDescent="0.3">
      <c r="B928" s="3"/>
      <c r="C928" s="7"/>
      <c r="D928" s="7"/>
      <c r="E928" s="6"/>
      <c r="F928" s="5"/>
      <c r="I928" s="6"/>
      <c r="J928" s="6"/>
      <c r="K928" s="6"/>
    </row>
    <row r="929" spans="2:11" x14ac:dyDescent="0.3">
      <c r="B929" s="3"/>
      <c r="C929" s="7"/>
      <c r="D929" s="7"/>
      <c r="E929" s="6"/>
      <c r="F929" s="5"/>
      <c r="I929" s="6"/>
      <c r="J929" s="6"/>
      <c r="K929" s="6"/>
    </row>
    <row r="930" spans="2:11" x14ac:dyDescent="0.3">
      <c r="B930" s="3"/>
      <c r="C930" s="7"/>
      <c r="D930" s="7"/>
      <c r="E930" s="6"/>
      <c r="F930" s="5"/>
      <c r="I930" s="6"/>
      <c r="J930" s="6"/>
      <c r="K930" s="6"/>
    </row>
    <row r="931" spans="2:11" x14ac:dyDescent="0.3">
      <c r="B931" s="3"/>
      <c r="C931" s="7"/>
      <c r="D931" s="7"/>
      <c r="E931" s="6"/>
      <c r="F931" s="5"/>
      <c r="I931" s="6"/>
      <c r="J931" s="6"/>
      <c r="K931" s="6"/>
    </row>
    <row r="932" spans="2:11" x14ac:dyDescent="0.3">
      <c r="B932" s="3"/>
      <c r="C932" s="7"/>
      <c r="D932" s="7"/>
      <c r="E932" s="6"/>
      <c r="F932" s="5"/>
      <c r="I932" s="6"/>
      <c r="J932" s="6"/>
      <c r="K932" s="6"/>
    </row>
    <row r="933" spans="2:11" x14ac:dyDescent="0.3">
      <c r="B933" s="3"/>
      <c r="C933" s="7"/>
      <c r="D933" s="7"/>
      <c r="E933" s="6"/>
      <c r="F933" s="5"/>
      <c r="I933" s="6"/>
      <c r="J933" s="6"/>
      <c r="K933" s="6"/>
    </row>
    <row r="934" spans="2:11" x14ac:dyDescent="0.3">
      <c r="B934" s="3"/>
      <c r="C934" s="7"/>
      <c r="D934" s="7"/>
      <c r="E934" s="6"/>
      <c r="F934" s="5"/>
      <c r="I934" s="6"/>
      <c r="J934" s="6"/>
      <c r="K934" s="6"/>
    </row>
    <row r="935" spans="2:11" x14ac:dyDescent="0.3">
      <c r="B935" s="3"/>
      <c r="C935" s="7"/>
      <c r="D935" s="7"/>
      <c r="E935" s="6"/>
      <c r="F935" s="5"/>
      <c r="I935" s="6"/>
      <c r="J935" s="6"/>
      <c r="K935" s="6"/>
    </row>
    <row r="936" spans="2:11" x14ac:dyDescent="0.3">
      <c r="B936" s="3"/>
      <c r="C936" s="7"/>
      <c r="D936" s="7"/>
      <c r="E936" s="6"/>
      <c r="F936" s="5"/>
      <c r="I936" s="6"/>
      <c r="J936" s="6"/>
      <c r="K936" s="6"/>
    </row>
    <row r="937" spans="2:11" x14ac:dyDescent="0.3">
      <c r="B937" s="3"/>
      <c r="C937" s="7"/>
      <c r="D937" s="7"/>
      <c r="E937" s="6"/>
      <c r="F937" s="5"/>
      <c r="I937" s="6"/>
      <c r="J937" s="6"/>
      <c r="K937" s="6"/>
    </row>
    <row r="938" spans="2:11" x14ac:dyDescent="0.3">
      <c r="B938" s="3"/>
      <c r="C938" s="7"/>
      <c r="D938" s="7"/>
      <c r="E938" s="6"/>
      <c r="F938" s="5"/>
      <c r="I938" s="6"/>
      <c r="J938" s="6"/>
      <c r="K938" s="6"/>
    </row>
    <row r="939" spans="2:11" x14ac:dyDescent="0.3">
      <c r="B939" s="3"/>
      <c r="C939" s="7"/>
      <c r="D939" s="7"/>
      <c r="E939" s="6"/>
      <c r="F939" s="5"/>
      <c r="I939" s="6"/>
      <c r="J939" s="6"/>
      <c r="K939" s="6"/>
    </row>
    <row r="940" spans="2:11" x14ac:dyDescent="0.3">
      <c r="B940" s="3"/>
      <c r="C940" s="7"/>
      <c r="D940" s="7"/>
      <c r="E940" s="6"/>
      <c r="F940" s="5"/>
      <c r="I940" s="6"/>
      <c r="J940" s="6"/>
      <c r="K940" s="6"/>
    </row>
    <row r="941" spans="2:11" x14ac:dyDescent="0.3">
      <c r="B941" s="3"/>
      <c r="C941" s="7"/>
      <c r="D941" s="7"/>
      <c r="E941" s="6"/>
      <c r="F941" s="5"/>
      <c r="I941" s="6"/>
      <c r="J941" s="6"/>
      <c r="K941" s="6"/>
    </row>
    <row r="942" spans="2:11" x14ac:dyDescent="0.3">
      <c r="B942" s="3"/>
      <c r="C942" s="7"/>
      <c r="D942" s="7"/>
      <c r="E942" s="6"/>
      <c r="F942" s="5"/>
      <c r="I942" s="6"/>
      <c r="J942" s="6"/>
      <c r="K942" s="6"/>
    </row>
    <row r="943" spans="2:11" x14ac:dyDescent="0.3">
      <c r="B943" s="3"/>
      <c r="C943" s="7"/>
      <c r="D943" s="7"/>
      <c r="E943" s="6"/>
      <c r="F943" s="5"/>
      <c r="I943" s="6"/>
      <c r="J943" s="6"/>
      <c r="K943" s="6"/>
    </row>
    <row r="944" spans="2:11" x14ac:dyDescent="0.3">
      <c r="B944" s="3"/>
      <c r="C944" s="7"/>
      <c r="D944" s="7"/>
      <c r="E944" s="6"/>
      <c r="F944" s="5"/>
      <c r="I944" s="6"/>
      <c r="J944" s="6"/>
      <c r="K944" s="6"/>
    </row>
    <row r="945" spans="2:11" x14ac:dyDescent="0.3">
      <c r="B945" s="3"/>
      <c r="C945" s="7"/>
      <c r="D945" s="7"/>
      <c r="E945" s="6"/>
      <c r="F945" s="5"/>
      <c r="I945" s="6"/>
      <c r="J945" s="6"/>
      <c r="K945" s="6"/>
    </row>
    <row r="946" spans="2:11" x14ac:dyDescent="0.3">
      <c r="B946" s="3"/>
      <c r="C946" s="7"/>
      <c r="D946" s="7"/>
      <c r="E946" s="6"/>
      <c r="F946" s="5"/>
      <c r="I946" s="6"/>
      <c r="J946" s="6"/>
      <c r="K946" s="6"/>
    </row>
    <row r="947" spans="2:11" x14ac:dyDescent="0.3">
      <c r="B947" s="3"/>
      <c r="C947" s="7"/>
      <c r="D947" s="7"/>
      <c r="E947" s="6"/>
      <c r="F947" s="5"/>
      <c r="I947" s="6"/>
      <c r="J947" s="6"/>
      <c r="K947" s="6"/>
    </row>
    <row r="948" spans="2:11" x14ac:dyDescent="0.3">
      <c r="B948" s="3"/>
      <c r="C948" s="7"/>
      <c r="D948" s="7"/>
      <c r="E948" s="6"/>
      <c r="F948" s="5"/>
      <c r="I948" s="6"/>
      <c r="J948" s="6"/>
      <c r="K948" s="6"/>
    </row>
    <row r="949" spans="2:11" x14ac:dyDescent="0.3">
      <c r="B949" s="3"/>
      <c r="C949" s="7"/>
      <c r="D949" s="7"/>
      <c r="E949" s="6"/>
      <c r="F949" s="5"/>
      <c r="I949" s="6"/>
      <c r="J949" s="6"/>
      <c r="K949" s="6"/>
    </row>
    <row r="950" spans="2:11" x14ac:dyDescent="0.3">
      <c r="B950" s="3"/>
      <c r="C950" s="7"/>
      <c r="D950" s="7"/>
      <c r="E950" s="6"/>
      <c r="F950" s="5"/>
      <c r="I950" s="6"/>
      <c r="J950" s="6"/>
      <c r="K950" s="6"/>
    </row>
    <row r="951" spans="2:11" x14ac:dyDescent="0.3">
      <c r="B951" s="3"/>
      <c r="C951" s="7"/>
      <c r="D951" s="7"/>
      <c r="E951" s="6"/>
      <c r="F951" s="5"/>
      <c r="I951" s="6"/>
      <c r="J951" s="6"/>
      <c r="K951" s="6"/>
    </row>
    <row r="952" spans="2:11" x14ac:dyDescent="0.3">
      <c r="B952" s="3"/>
      <c r="C952" s="7"/>
      <c r="D952" s="7"/>
      <c r="E952" s="6"/>
      <c r="F952" s="5"/>
      <c r="I952" s="6"/>
      <c r="J952" s="6"/>
      <c r="K952" s="6"/>
    </row>
    <row r="953" spans="2:11" x14ac:dyDescent="0.3">
      <c r="B953" s="3"/>
      <c r="C953" s="7"/>
      <c r="D953" s="7"/>
      <c r="E953" s="6"/>
      <c r="F953" s="5"/>
      <c r="I953" s="6"/>
      <c r="J953" s="6"/>
      <c r="K953" s="6"/>
    </row>
    <row r="954" spans="2:11" x14ac:dyDescent="0.3">
      <c r="B954" s="3"/>
      <c r="C954" s="7"/>
      <c r="D954" s="7"/>
      <c r="E954" s="6"/>
      <c r="F954" s="5"/>
      <c r="I954" s="6"/>
      <c r="J954" s="6"/>
      <c r="K954" s="6"/>
    </row>
    <row r="955" spans="2:11" x14ac:dyDescent="0.3">
      <c r="B955" s="3"/>
      <c r="C955" s="7"/>
      <c r="D955" s="7"/>
      <c r="E955" s="6"/>
      <c r="F955" s="5"/>
      <c r="I955" s="6"/>
      <c r="J955" s="6"/>
      <c r="K955" s="6"/>
    </row>
    <row r="956" spans="2:11" x14ac:dyDescent="0.3">
      <c r="B956" s="3"/>
      <c r="C956" s="7"/>
      <c r="D956" s="7"/>
      <c r="E956" s="6"/>
      <c r="F956" s="5"/>
      <c r="I956" s="6"/>
      <c r="J956" s="6"/>
      <c r="K956" s="6"/>
    </row>
    <row r="957" spans="2:11" x14ac:dyDescent="0.3">
      <c r="B957" s="3"/>
      <c r="C957" s="7"/>
      <c r="D957" s="7"/>
      <c r="E957" s="6"/>
      <c r="F957" s="5"/>
      <c r="I957" s="6"/>
      <c r="J957" s="6"/>
      <c r="K957" s="6"/>
    </row>
    <row r="958" spans="2:11" x14ac:dyDescent="0.3">
      <c r="B958" s="3"/>
      <c r="C958" s="7"/>
      <c r="D958" s="7"/>
      <c r="E958" s="6"/>
      <c r="F958" s="5"/>
      <c r="I958" s="6"/>
      <c r="J958" s="6"/>
      <c r="K958" s="6"/>
    </row>
    <row r="959" spans="2:11" x14ac:dyDescent="0.3">
      <c r="B959" s="3"/>
      <c r="C959" s="7"/>
      <c r="D959" s="7"/>
      <c r="E959" s="6"/>
      <c r="F959" s="5"/>
      <c r="I959" s="6"/>
      <c r="J959" s="6"/>
      <c r="K959" s="6"/>
    </row>
    <row r="960" spans="2:11" x14ac:dyDescent="0.3">
      <c r="B960" s="3"/>
      <c r="C960" s="7"/>
      <c r="D960" s="7"/>
      <c r="E960" s="6"/>
      <c r="F960" s="5"/>
      <c r="I960" s="6"/>
      <c r="J960" s="6"/>
      <c r="K960" s="6"/>
    </row>
    <row r="961" spans="2:11" x14ac:dyDescent="0.3">
      <c r="B961" s="3"/>
      <c r="C961" s="7"/>
      <c r="D961" s="7"/>
      <c r="E961" s="6"/>
      <c r="F961" s="5"/>
      <c r="I961" s="6"/>
      <c r="J961" s="6"/>
      <c r="K961" s="6"/>
    </row>
    <row r="962" spans="2:11" x14ac:dyDescent="0.3">
      <c r="B962" s="3"/>
      <c r="C962" s="7"/>
      <c r="D962" s="7"/>
      <c r="E962" s="6"/>
      <c r="F962" s="5"/>
      <c r="I962" s="6"/>
      <c r="J962" s="6"/>
      <c r="K962" s="6"/>
    </row>
    <row r="963" spans="2:11" x14ac:dyDescent="0.3">
      <c r="B963" s="3"/>
      <c r="C963" s="7"/>
      <c r="D963" s="7"/>
      <c r="E963" s="6"/>
      <c r="F963" s="5"/>
      <c r="I963" s="6"/>
      <c r="J963" s="6"/>
      <c r="K963" s="6"/>
    </row>
    <row r="964" spans="2:11" x14ac:dyDescent="0.3">
      <c r="B964" s="3"/>
      <c r="C964" s="7"/>
      <c r="D964" s="7"/>
      <c r="E964" s="6"/>
      <c r="F964" s="5"/>
      <c r="I964" s="6"/>
      <c r="J964" s="6"/>
      <c r="K964" s="6"/>
    </row>
    <row r="965" spans="2:11" x14ac:dyDescent="0.3">
      <c r="B965" s="3"/>
      <c r="C965" s="7"/>
      <c r="D965" s="7"/>
      <c r="E965" s="6"/>
      <c r="F965" s="5"/>
      <c r="I965" s="6"/>
      <c r="J965" s="6"/>
      <c r="K965" s="6"/>
    </row>
    <row r="966" spans="2:11" x14ac:dyDescent="0.3">
      <c r="B966" s="3"/>
      <c r="C966" s="7"/>
      <c r="D966" s="7"/>
      <c r="E966" s="6"/>
      <c r="F966" s="5"/>
      <c r="I966" s="6"/>
      <c r="J966" s="6"/>
      <c r="K966" s="6"/>
    </row>
    <row r="967" spans="2:11" x14ac:dyDescent="0.3">
      <c r="B967" s="3"/>
      <c r="C967" s="7"/>
      <c r="D967" s="7"/>
      <c r="E967" s="6"/>
      <c r="F967" s="5"/>
      <c r="I967" s="6"/>
      <c r="J967" s="6"/>
      <c r="K967" s="6"/>
    </row>
    <row r="968" spans="2:11" x14ac:dyDescent="0.3">
      <c r="B968" s="3"/>
      <c r="C968" s="7"/>
      <c r="D968" s="7"/>
      <c r="E968" s="6"/>
      <c r="F968" s="5"/>
      <c r="I968" s="6"/>
      <c r="J968" s="6"/>
      <c r="K968" s="6"/>
    </row>
    <row r="969" spans="2:11" x14ac:dyDescent="0.3">
      <c r="B969" s="3"/>
      <c r="C969" s="7"/>
      <c r="D969" s="7"/>
      <c r="E969" s="6"/>
      <c r="F969" s="5"/>
      <c r="I969" s="6"/>
      <c r="J969" s="6"/>
      <c r="K969" s="6"/>
    </row>
    <row r="970" spans="2:11" x14ac:dyDescent="0.3">
      <c r="B970" s="3"/>
      <c r="C970" s="7"/>
      <c r="D970" s="7"/>
      <c r="E970" s="6"/>
      <c r="F970" s="5"/>
      <c r="I970" s="6"/>
      <c r="J970" s="6"/>
      <c r="K970" s="6"/>
    </row>
    <row r="971" spans="2:11" x14ac:dyDescent="0.3">
      <c r="B971" s="3"/>
      <c r="C971" s="7"/>
      <c r="D971" s="7"/>
      <c r="E971" s="6"/>
      <c r="F971" s="5"/>
      <c r="I971" s="6"/>
      <c r="J971" s="6"/>
      <c r="K971" s="6"/>
    </row>
    <row r="972" spans="2:11" x14ac:dyDescent="0.3">
      <c r="B972" s="3"/>
      <c r="C972" s="7"/>
      <c r="D972" s="7"/>
      <c r="E972" s="6"/>
      <c r="F972" s="5"/>
      <c r="I972" s="6"/>
      <c r="J972" s="6"/>
      <c r="K972" s="6"/>
    </row>
    <row r="973" spans="2:11" x14ac:dyDescent="0.3">
      <c r="B973" s="3"/>
      <c r="C973" s="7"/>
      <c r="D973" s="7"/>
      <c r="E973" s="6"/>
      <c r="F973" s="5"/>
      <c r="I973" s="6"/>
      <c r="J973" s="6"/>
      <c r="K973" s="6"/>
    </row>
    <row r="974" spans="2:11" x14ac:dyDescent="0.3">
      <c r="B974" s="3"/>
      <c r="C974" s="7"/>
      <c r="D974" s="7"/>
      <c r="E974" s="6"/>
      <c r="F974" s="5"/>
      <c r="I974" s="6"/>
      <c r="J974" s="6"/>
      <c r="K974" s="6"/>
    </row>
    <row r="975" spans="2:11" x14ac:dyDescent="0.3">
      <c r="B975" s="3"/>
      <c r="C975" s="7"/>
      <c r="D975" s="7"/>
      <c r="E975" s="6"/>
      <c r="F975" s="5"/>
      <c r="I975" s="6"/>
      <c r="J975" s="6"/>
      <c r="K975" s="6"/>
    </row>
    <row r="976" spans="2:11" x14ac:dyDescent="0.3">
      <c r="B976" s="3"/>
      <c r="C976" s="7"/>
      <c r="D976" s="7"/>
      <c r="E976" s="6"/>
      <c r="F976" s="5"/>
      <c r="I976" s="6"/>
      <c r="J976" s="6"/>
      <c r="K976" s="6"/>
    </row>
    <row r="977" spans="2:11" x14ac:dyDescent="0.3">
      <c r="B977" s="3"/>
      <c r="C977" s="7"/>
      <c r="D977" s="7"/>
      <c r="E977" s="6"/>
      <c r="F977" s="5"/>
      <c r="I977" s="6"/>
      <c r="J977" s="6"/>
      <c r="K977" s="6"/>
    </row>
    <row r="978" spans="2:11" x14ac:dyDescent="0.3">
      <c r="B978" s="3"/>
      <c r="C978" s="7"/>
      <c r="D978" s="7"/>
      <c r="E978" s="6"/>
      <c r="F978" s="5"/>
      <c r="I978" s="6"/>
      <c r="J978" s="6"/>
      <c r="K978" s="6"/>
    </row>
    <row r="979" spans="2:11" x14ac:dyDescent="0.3">
      <c r="B979" s="3"/>
      <c r="C979" s="7"/>
      <c r="D979" s="7"/>
      <c r="E979" s="6"/>
      <c r="F979" s="5"/>
      <c r="I979" s="6"/>
      <c r="J979" s="6"/>
      <c r="K979" s="6"/>
    </row>
    <row r="980" spans="2:11" x14ac:dyDescent="0.3">
      <c r="B980" s="3"/>
      <c r="C980" s="7"/>
      <c r="D980" s="7"/>
      <c r="E980" s="6"/>
      <c r="F980" s="5"/>
      <c r="I980" s="6"/>
      <c r="J980" s="6"/>
      <c r="K980" s="6"/>
    </row>
    <row r="981" spans="2:11" x14ac:dyDescent="0.3">
      <c r="B981" s="3"/>
      <c r="C981" s="7"/>
      <c r="D981" s="7"/>
      <c r="E981" s="6"/>
      <c r="F981" s="5"/>
      <c r="I981" s="6"/>
      <c r="J981" s="6"/>
      <c r="K981" s="6"/>
    </row>
    <row r="982" spans="2:11" x14ac:dyDescent="0.3">
      <c r="B982" s="3"/>
      <c r="C982" s="7"/>
      <c r="D982" s="7"/>
      <c r="E982" s="6"/>
      <c r="F982" s="5"/>
      <c r="I982" s="6"/>
      <c r="J982" s="6"/>
      <c r="K982" s="6"/>
    </row>
    <row r="983" spans="2:11" x14ac:dyDescent="0.3">
      <c r="B983" s="3"/>
      <c r="C983" s="7"/>
      <c r="D983" s="7"/>
      <c r="E983" s="6"/>
      <c r="F983" s="5"/>
      <c r="I983" s="6"/>
      <c r="J983" s="6"/>
      <c r="K983" s="6"/>
    </row>
    <row r="984" spans="2:11" x14ac:dyDescent="0.3">
      <c r="B984" s="3"/>
      <c r="C984" s="7"/>
      <c r="D984" s="7"/>
      <c r="E984" s="6"/>
      <c r="F984" s="5"/>
      <c r="I984" s="6"/>
      <c r="J984" s="6"/>
      <c r="K984" s="6"/>
    </row>
    <row r="985" spans="2:11" x14ac:dyDescent="0.3">
      <c r="B985" s="3"/>
      <c r="C985" s="7"/>
      <c r="D985" s="7"/>
      <c r="E985" s="6"/>
      <c r="F985" s="5"/>
      <c r="I985" s="6"/>
      <c r="J985" s="6"/>
      <c r="K985" s="6"/>
    </row>
    <row r="986" spans="2:11" x14ac:dyDescent="0.3">
      <c r="B986" s="3"/>
      <c r="C986" s="7"/>
      <c r="D986" s="7"/>
      <c r="E986" s="6"/>
      <c r="F986" s="5"/>
      <c r="I986" s="6"/>
      <c r="J986" s="6"/>
      <c r="K986" s="6"/>
    </row>
    <row r="987" spans="2:11" x14ac:dyDescent="0.3">
      <c r="B987" s="3"/>
      <c r="C987" s="7"/>
      <c r="D987" s="7"/>
      <c r="E987" s="6"/>
      <c r="F987" s="5"/>
      <c r="I987" s="6"/>
      <c r="J987" s="6"/>
      <c r="K987" s="6"/>
    </row>
    <row r="988" spans="2:11" x14ac:dyDescent="0.3">
      <c r="B988" s="3"/>
      <c r="C988" s="7"/>
      <c r="D988" s="7"/>
      <c r="E988" s="6"/>
      <c r="F988" s="5"/>
      <c r="I988" s="6"/>
      <c r="J988" s="6"/>
      <c r="K988" s="6"/>
    </row>
    <row r="989" spans="2:11" x14ac:dyDescent="0.3">
      <c r="B989" s="3"/>
      <c r="C989" s="7"/>
      <c r="D989" s="7"/>
      <c r="E989" s="6"/>
      <c r="F989" s="5"/>
      <c r="I989" s="6"/>
      <c r="J989" s="6"/>
      <c r="K989" s="6"/>
    </row>
    <row r="990" spans="2:11" x14ac:dyDescent="0.3">
      <c r="B990" s="3"/>
      <c r="C990" s="7"/>
      <c r="D990" s="7"/>
      <c r="E990" s="6"/>
      <c r="F990" s="5"/>
      <c r="I990" s="6"/>
      <c r="J990" s="6"/>
      <c r="K990" s="6"/>
    </row>
    <row r="991" spans="2:11" x14ac:dyDescent="0.3">
      <c r="B991" s="3"/>
      <c r="C991" s="7"/>
      <c r="D991" s="7"/>
      <c r="E991" s="6"/>
      <c r="F991" s="5"/>
      <c r="I991" s="6"/>
      <c r="J991" s="6"/>
      <c r="K991" s="6"/>
    </row>
    <row r="992" spans="2:11" x14ac:dyDescent="0.3">
      <c r="B992" s="3"/>
      <c r="C992" s="7"/>
      <c r="D992" s="7"/>
      <c r="E992" s="6"/>
      <c r="F992" s="5"/>
      <c r="I992" s="6"/>
      <c r="J992" s="6"/>
      <c r="K992" s="6"/>
    </row>
    <row r="993" spans="2:11" x14ac:dyDescent="0.3">
      <c r="B993" s="3"/>
      <c r="C993" s="7"/>
      <c r="D993" s="7"/>
      <c r="E993" s="6"/>
      <c r="F993" s="5"/>
      <c r="I993" s="6"/>
      <c r="J993" s="6"/>
      <c r="K993" s="6"/>
    </row>
    <row r="994" spans="2:11" x14ac:dyDescent="0.3">
      <c r="B994" s="3"/>
      <c r="C994" s="7"/>
      <c r="D994" s="7"/>
      <c r="E994" s="6"/>
      <c r="F994" s="5"/>
      <c r="I994" s="6"/>
      <c r="J994" s="6"/>
      <c r="K994" s="6"/>
    </row>
    <row r="995" spans="2:11" x14ac:dyDescent="0.3">
      <c r="B995" s="3"/>
      <c r="C995" s="7"/>
      <c r="D995" s="7"/>
      <c r="E995" s="6"/>
      <c r="F995" s="5"/>
      <c r="I995" s="6"/>
      <c r="J995" s="6"/>
      <c r="K995" s="6"/>
    </row>
    <row r="996" spans="2:11" x14ac:dyDescent="0.3">
      <c r="B996" s="3"/>
      <c r="C996" s="7"/>
      <c r="D996" s="7"/>
      <c r="E996" s="6"/>
      <c r="F996" s="5"/>
      <c r="I996" s="6"/>
      <c r="J996" s="6"/>
      <c r="K996" s="6"/>
    </row>
    <row r="997" spans="2:11" x14ac:dyDescent="0.3">
      <c r="B997" s="3"/>
      <c r="C997" s="7"/>
      <c r="D997" s="7"/>
      <c r="E997" s="6"/>
      <c r="F997" s="5"/>
      <c r="I997" s="6"/>
      <c r="J997" s="6"/>
      <c r="K997" s="6"/>
    </row>
    <row r="998" spans="2:11" x14ac:dyDescent="0.3">
      <c r="B998" s="3"/>
      <c r="C998" s="7"/>
      <c r="D998" s="7"/>
      <c r="E998" s="6"/>
      <c r="F998" s="5"/>
      <c r="I998" s="6"/>
      <c r="J998" s="6"/>
      <c r="K998" s="6"/>
    </row>
    <row r="999" spans="2:11" x14ac:dyDescent="0.3">
      <c r="B999" s="3"/>
      <c r="C999" s="7"/>
      <c r="D999" s="7"/>
      <c r="E999" s="6"/>
      <c r="F999" s="5"/>
      <c r="I999" s="6"/>
      <c r="J999" s="6"/>
      <c r="K999" s="6"/>
    </row>
    <row r="1000" spans="2:11" x14ac:dyDescent="0.3">
      <c r="B1000" s="3"/>
      <c r="C1000" s="7"/>
      <c r="D1000" s="7"/>
      <c r="E1000" s="6"/>
      <c r="F1000" s="5"/>
      <c r="I1000" s="6"/>
      <c r="J1000" s="6"/>
      <c r="K1000" s="6"/>
    </row>
    <row r="1001" spans="2:11" x14ac:dyDescent="0.3">
      <c r="B1001" s="3"/>
      <c r="C1001" s="7"/>
      <c r="D1001" s="7"/>
      <c r="E1001" s="6"/>
      <c r="F1001" s="5"/>
      <c r="I1001" s="6"/>
      <c r="J1001" s="6"/>
      <c r="K1001" s="6"/>
    </row>
    <row r="1002" spans="2:11" x14ac:dyDescent="0.3">
      <c r="B1002" s="3"/>
      <c r="C1002" s="7"/>
      <c r="D1002" s="7"/>
      <c r="E1002" s="6"/>
      <c r="F1002" s="5"/>
      <c r="I1002" s="6"/>
      <c r="J1002" s="6"/>
      <c r="K1002" s="6"/>
    </row>
    <row r="1003" spans="2:11" x14ac:dyDescent="0.3">
      <c r="B1003" s="3"/>
      <c r="C1003" s="7"/>
      <c r="D1003" s="7"/>
      <c r="E1003" s="6"/>
      <c r="F1003" s="5"/>
      <c r="I1003" s="6"/>
      <c r="J1003" s="6"/>
      <c r="K1003" s="6"/>
    </row>
    <row r="1004" spans="2:11" x14ac:dyDescent="0.3">
      <c r="B1004" s="3"/>
      <c r="C1004" s="7"/>
      <c r="D1004" s="7"/>
      <c r="E1004" s="6"/>
      <c r="F1004" s="5"/>
      <c r="I1004" s="6"/>
      <c r="J1004" s="6"/>
      <c r="K1004" s="6"/>
    </row>
    <row r="1005" spans="2:11" x14ac:dyDescent="0.3">
      <c r="B1005" s="3"/>
      <c r="C1005" s="7"/>
      <c r="D1005" s="7"/>
      <c r="E1005" s="6"/>
      <c r="F1005" s="5"/>
      <c r="I1005" s="6"/>
      <c r="J1005" s="6"/>
      <c r="K1005" s="6"/>
    </row>
    <row r="1006" spans="2:11" x14ac:dyDescent="0.3">
      <c r="B1006" s="3"/>
      <c r="C1006" s="7"/>
      <c r="D1006" s="7"/>
      <c r="E1006" s="6"/>
      <c r="F1006" s="5"/>
      <c r="I1006" s="6"/>
      <c r="J1006" s="6"/>
      <c r="K1006" s="6"/>
    </row>
    <row r="1007" spans="2:11" x14ac:dyDescent="0.3">
      <c r="B1007" s="3"/>
      <c r="C1007" s="7"/>
      <c r="D1007" s="7"/>
      <c r="E1007" s="6"/>
      <c r="F1007" s="5"/>
      <c r="I1007" s="6"/>
      <c r="J1007" s="6"/>
      <c r="K1007" s="6"/>
    </row>
    <row r="1008" spans="2:11" x14ac:dyDescent="0.3">
      <c r="B1008" s="3"/>
      <c r="C1008" s="7"/>
      <c r="D1008" s="7"/>
      <c r="E1008" s="6"/>
      <c r="F1008" s="5"/>
      <c r="I1008" s="6"/>
      <c r="J1008" s="6"/>
      <c r="K1008" s="6"/>
    </row>
    <row r="1009" spans="2:11" x14ac:dyDescent="0.3">
      <c r="B1009" s="3"/>
      <c r="C1009" s="7"/>
      <c r="D1009" s="7"/>
      <c r="E1009" s="6"/>
      <c r="F1009" s="5"/>
      <c r="I1009" s="6"/>
      <c r="J1009" s="6"/>
      <c r="K1009" s="6"/>
    </row>
    <row r="1010" spans="2:11" x14ac:dyDescent="0.3">
      <c r="B1010" s="3"/>
      <c r="C1010" s="7"/>
      <c r="D1010" s="7"/>
      <c r="E1010" s="6"/>
      <c r="F1010" s="5"/>
      <c r="I1010" s="6"/>
      <c r="J1010" s="6"/>
      <c r="K1010" s="6"/>
    </row>
    <row r="1011" spans="2:11" x14ac:dyDescent="0.3">
      <c r="B1011" s="3"/>
      <c r="C1011" s="7"/>
      <c r="D1011" s="7"/>
      <c r="E1011" s="6"/>
      <c r="F1011" s="5"/>
      <c r="I1011" s="6"/>
      <c r="J1011" s="6"/>
      <c r="K1011" s="6"/>
    </row>
    <row r="1012" spans="2:11" x14ac:dyDescent="0.3">
      <c r="B1012" s="3"/>
      <c r="C1012" s="7"/>
      <c r="D1012" s="7"/>
      <c r="E1012" s="6"/>
      <c r="F1012" s="5"/>
      <c r="I1012" s="6"/>
      <c r="J1012" s="6"/>
      <c r="K1012" s="6"/>
    </row>
    <row r="1013" spans="2:11" x14ac:dyDescent="0.3">
      <c r="B1013" s="3"/>
      <c r="C1013" s="7"/>
      <c r="D1013" s="7"/>
      <c r="E1013" s="6"/>
      <c r="F1013" s="5"/>
      <c r="I1013" s="6"/>
      <c r="J1013" s="6"/>
      <c r="K1013" s="6"/>
    </row>
    <row r="1014" spans="2:11" x14ac:dyDescent="0.3">
      <c r="B1014" s="3"/>
      <c r="C1014" s="7"/>
      <c r="D1014" s="7"/>
      <c r="E1014" s="6"/>
      <c r="F1014" s="5"/>
      <c r="I1014" s="6"/>
      <c r="J1014" s="6"/>
      <c r="K1014" s="6"/>
    </row>
    <row r="1015" spans="2:11" x14ac:dyDescent="0.3">
      <c r="B1015" s="3"/>
      <c r="C1015" s="7"/>
      <c r="D1015" s="7"/>
      <c r="E1015" s="6"/>
      <c r="F1015" s="5"/>
      <c r="I1015" s="6"/>
      <c r="J1015" s="6"/>
      <c r="K1015" s="6"/>
    </row>
    <row r="1016" spans="2:11" x14ac:dyDescent="0.3">
      <c r="B1016" s="3"/>
      <c r="C1016" s="7"/>
      <c r="D1016" s="7"/>
      <c r="E1016" s="6"/>
      <c r="F1016" s="5"/>
      <c r="I1016" s="6"/>
      <c r="J1016" s="6"/>
      <c r="K1016" s="6"/>
    </row>
    <row r="1017" spans="2:11" x14ac:dyDescent="0.3">
      <c r="B1017" s="3"/>
      <c r="C1017" s="7"/>
      <c r="D1017" s="7"/>
      <c r="E1017" s="6"/>
      <c r="F1017" s="5"/>
      <c r="I1017" s="6"/>
      <c r="J1017" s="6"/>
      <c r="K1017" s="6"/>
    </row>
    <row r="1018" spans="2:11" x14ac:dyDescent="0.3">
      <c r="B1018" s="3"/>
      <c r="C1018" s="7"/>
      <c r="D1018" s="7"/>
      <c r="E1018" s="6"/>
      <c r="F1018" s="5"/>
      <c r="I1018" s="6"/>
      <c r="J1018" s="6"/>
      <c r="K1018" s="6"/>
    </row>
    <row r="1019" spans="2:11" x14ac:dyDescent="0.3">
      <c r="B1019" s="3"/>
      <c r="C1019" s="7"/>
      <c r="D1019" s="7"/>
      <c r="E1019" s="6"/>
      <c r="F1019" s="5"/>
      <c r="I1019" s="6"/>
      <c r="J1019" s="6"/>
      <c r="K1019" s="6"/>
    </row>
    <row r="1020" spans="2:11" x14ac:dyDescent="0.3">
      <c r="B1020" s="3"/>
      <c r="C1020" s="7"/>
      <c r="D1020" s="7"/>
      <c r="E1020" s="6"/>
      <c r="F1020" s="5"/>
      <c r="I1020" s="6"/>
      <c r="J1020" s="6"/>
      <c r="K1020" s="6"/>
    </row>
    <row r="1021" spans="2:11" x14ac:dyDescent="0.3">
      <c r="B1021" s="3"/>
      <c r="C1021" s="7"/>
      <c r="D1021" s="7"/>
      <c r="E1021" s="6"/>
      <c r="F1021" s="5"/>
      <c r="I1021" s="6"/>
      <c r="J1021" s="6"/>
      <c r="K1021" s="6"/>
    </row>
    <row r="1022" spans="2:11" x14ac:dyDescent="0.3">
      <c r="B1022" s="3"/>
      <c r="C1022" s="7"/>
      <c r="D1022" s="7"/>
      <c r="E1022" s="6"/>
      <c r="F1022" s="5"/>
      <c r="I1022" s="6"/>
      <c r="J1022" s="6"/>
      <c r="K1022" s="6"/>
    </row>
    <row r="1023" spans="2:11" x14ac:dyDescent="0.3">
      <c r="B1023" s="3"/>
      <c r="C1023" s="7"/>
      <c r="D1023" s="7"/>
      <c r="E1023" s="6"/>
      <c r="F1023" s="5"/>
      <c r="I1023" s="6"/>
      <c r="J1023" s="6"/>
      <c r="K1023" s="6"/>
    </row>
    <row r="1024" spans="2:11" x14ac:dyDescent="0.3">
      <c r="B1024" s="3"/>
      <c r="C1024" s="7"/>
      <c r="D1024" s="7"/>
      <c r="E1024" s="6"/>
      <c r="F1024" s="5"/>
      <c r="I1024" s="6"/>
      <c r="J1024" s="6"/>
      <c r="K1024" s="6"/>
    </row>
    <row r="1025" spans="2:11" x14ac:dyDescent="0.3">
      <c r="B1025" s="3"/>
      <c r="C1025" s="7"/>
      <c r="D1025" s="7"/>
      <c r="E1025" s="6"/>
      <c r="F1025" s="5"/>
      <c r="I1025" s="6"/>
      <c r="J1025" s="6"/>
      <c r="K1025" s="6"/>
    </row>
    <row r="1026" spans="2:11" x14ac:dyDescent="0.3">
      <c r="B1026" s="3"/>
      <c r="C1026" s="7"/>
      <c r="D1026" s="7"/>
      <c r="E1026" s="6"/>
      <c r="F1026" s="5"/>
      <c r="I1026" s="6"/>
      <c r="J1026" s="6"/>
      <c r="K1026" s="6"/>
    </row>
    <row r="1027" spans="2:11" x14ac:dyDescent="0.3">
      <c r="B1027" s="3"/>
      <c r="C1027" s="7"/>
      <c r="D1027" s="7"/>
      <c r="E1027" s="6"/>
      <c r="F1027" s="5"/>
      <c r="I1027" s="6"/>
      <c r="J1027" s="6"/>
      <c r="K1027" s="6"/>
    </row>
    <row r="1028" spans="2:11" x14ac:dyDescent="0.3">
      <c r="B1028" s="3"/>
      <c r="C1028" s="7"/>
      <c r="D1028" s="7"/>
      <c r="E1028" s="6"/>
      <c r="F1028" s="5"/>
      <c r="I1028" s="6"/>
      <c r="J1028" s="6"/>
      <c r="K1028" s="6"/>
    </row>
    <row r="1029" spans="2:11" x14ac:dyDescent="0.3">
      <c r="B1029" s="3"/>
      <c r="C1029" s="7"/>
      <c r="D1029" s="7"/>
      <c r="E1029" s="6"/>
      <c r="F1029" s="5"/>
      <c r="I1029" s="6"/>
      <c r="J1029" s="6"/>
      <c r="K1029" s="6"/>
    </row>
    <row r="1030" spans="2:11" x14ac:dyDescent="0.3">
      <c r="B1030" s="3"/>
      <c r="C1030" s="7"/>
      <c r="D1030" s="7"/>
      <c r="E1030" s="6"/>
      <c r="F1030" s="5"/>
      <c r="I1030" s="6"/>
      <c r="J1030" s="6"/>
      <c r="K1030" s="6"/>
    </row>
    <row r="1031" spans="2:11" x14ac:dyDescent="0.3">
      <c r="B1031" s="3"/>
      <c r="C1031" s="7"/>
      <c r="D1031" s="7"/>
      <c r="E1031" s="6"/>
      <c r="F1031" s="5"/>
      <c r="I1031" s="6"/>
      <c r="J1031" s="6"/>
      <c r="K1031" s="6"/>
    </row>
    <row r="1032" spans="2:11" x14ac:dyDescent="0.3">
      <c r="B1032" s="3"/>
      <c r="C1032" s="7"/>
      <c r="D1032" s="7"/>
      <c r="E1032" s="6"/>
      <c r="F1032" s="5"/>
      <c r="I1032" s="6"/>
      <c r="J1032" s="6"/>
      <c r="K1032" s="6"/>
    </row>
    <row r="1033" spans="2:11" x14ac:dyDescent="0.3">
      <c r="B1033" s="3"/>
      <c r="C1033" s="7"/>
      <c r="D1033" s="7"/>
      <c r="E1033" s="6"/>
      <c r="F1033" s="5"/>
      <c r="I1033" s="6"/>
      <c r="J1033" s="6"/>
      <c r="K1033" s="6"/>
    </row>
    <row r="1034" spans="2:11" x14ac:dyDescent="0.3">
      <c r="B1034" s="3"/>
      <c r="C1034" s="7"/>
      <c r="D1034" s="7"/>
      <c r="E1034" s="6"/>
      <c r="F1034" s="5"/>
      <c r="I1034" s="6"/>
      <c r="J1034" s="6"/>
      <c r="K1034" s="6"/>
    </row>
    <row r="1035" spans="2:11" x14ac:dyDescent="0.3">
      <c r="B1035" s="3"/>
      <c r="C1035" s="7"/>
      <c r="D1035" s="7"/>
      <c r="E1035" s="6"/>
      <c r="F1035" s="5"/>
      <c r="I1035" s="6"/>
      <c r="J1035" s="6"/>
      <c r="K1035" s="6"/>
    </row>
    <row r="1036" spans="2:11" x14ac:dyDescent="0.3">
      <c r="B1036" s="3"/>
      <c r="C1036" s="7"/>
      <c r="D1036" s="7"/>
      <c r="E1036" s="6"/>
      <c r="F1036" s="5"/>
      <c r="I1036" s="6"/>
      <c r="J1036" s="6"/>
      <c r="K1036" s="6"/>
    </row>
    <row r="1037" spans="2:11" x14ac:dyDescent="0.3">
      <c r="B1037" s="3"/>
      <c r="C1037" s="7"/>
      <c r="D1037" s="7"/>
      <c r="E1037" s="6"/>
      <c r="F1037" s="5"/>
      <c r="I1037" s="6"/>
      <c r="J1037" s="6"/>
      <c r="K1037" s="6"/>
    </row>
    <row r="1038" spans="2:11" x14ac:dyDescent="0.3">
      <c r="B1038" s="3"/>
      <c r="C1038" s="7"/>
      <c r="D1038" s="7"/>
      <c r="E1038" s="6"/>
      <c r="F1038" s="5"/>
      <c r="I1038" s="6"/>
      <c r="J1038" s="6"/>
      <c r="K1038" s="6"/>
    </row>
    <row r="1039" spans="2:11" x14ac:dyDescent="0.3">
      <c r="B1039" s="3"/>
      <c r="C1039" s="7"/>
      <c r="D1039" s="7"/>
      <c r="E1039" s="6"/>
      <c r="F1039" s="5"/>
      <c r="I1039" s="6"/>
      <c r="J1039" s="6"/>
      <c r="K1039" s="6"/>
    </row>
    <row r="1040" spans="2:11" x14ac:dyDescent="0.3">
      <c r="B1040" s="3"/>
      <c r="C1040" s="7"/>
      <c r="D1040" s="7"/>
      <c r="E1040" s="6"/>
      <c r="F1040" s="5"/>
      <c r="I1040" s="6"/>
      <c r="J1040" s="6"/>
      <c r="K1040" s="6"/>
    </row>
    <row r="1041" spans="2:11" x14ac:dyDescent="0.3">
      <c r="B1041" s="3"/>
      <c r="C1041" s="7"/>
      <c r="D1041" s="7"/>
      <c r="E1041" s="6"/>
      <c r="F1041" s="5"/>
      <c r="I1041" s="6"/>
      <c r="J1041" s="6"/>
      <c r="K1041" s="6"/>
    </row>
    <row r="1042" spans="2:11" x14ac:dyDescent="0.3">
      <c r="B1042" s="3"/>
      <c r="C1042" s="7"/>
      <c r="D1042" s="7"/>
      <c r="E1042" s="6"/>
      <c r="F1042" s="5"/>
      <c r="I1042" s="6"/>
      <c r="J1042" s="6"/>
      <c r="K1042" s="6"/>
    </row>
    <row r="1043" spans="2:11" x14ac:dyDescent="0.3">
      <c r="B1043" s="3"/>
      <c r="C1043" s="7"/>
      <c r="D1043" s="7"/>
      <c r="E1043" s="6"/>
      <c r="F1043" s="5"/>
      <c r="I1043" s="6"/>
      <c r="J1043" s="6"/>
      <c r="K1043" s="6"/>
    </row>
    <row r="1044" spans="2:11" x14ac:dyDescent="0.3">
      <c r="B1044" s="3"/>
      <c r="C1044" s="7"/>
      <c r="D1044" s="7"/>
      <c r="E1044" s="6"/>
      <c r="F1044" s="5"/>
      <c r="I1044" s="6"/>
      <c r="J1044" s="6"/>
      <c r="K1044" s="6"/>
    </row>
    <row r="1045" spans="2:11" x14ac:dyDescent="0.3">
      <c r="B1045" s="3"/>
      <c r="C1045" s="7"/>
      <c r="D1045" s="7"/>
      <c r="E1045" s="6"/>
      <c r="F1045" s="5"/>
      <c r="I1045" s="6"/>
      <c r="J1045" s="6"/>
      <c r="K1045" s="6"/>
    </row>
    <row r="1046" spans="2:11" x14ac:dyDescent="0.3">
      <c r="B1046" s="3"/>
      <c r="C1046" s="7"/>
      <c r="D1046" s="7"/>
      <c r="E1046" s="6"/>
      <c r="F1046" s="5"/>
      <c r="I1046" s="6"/>
      <c r="J1046" s="6"/>
      <c r="K1046" s="6"/>
    </row>
    <row r="1047" spans="2:11" x14ac:dyDescent="0.3">
      <c r="B1047" s="3"/>
      <c r="C1047" s="7"/>
      <c r="D1047" s="7"/>
      <c r="E1047" s="6"/>
      <c r="F1047" s="5"/>
      <c r="I1047" s="6"/>
      <c r="J1047" s="6"/>
      <c r="K1047" s="6"/>
    </row>
    <row r="1048" spans="2:11" x14ac:dyDescent="0.3">
      <c r="B1048" s="3"/>
      <c r="C1048" s="7"/>
      <c r="D1048" s="7"/>
      <c r="E1048" s="6"/>
      <c r="F1048" s="5"/>
      <c r="I1048" s="6"/>
      <c r="J1048" s="6"/>
      <c r="K1048" s="6"/>
    </row>
    <row r="1049" spans="2:11" x14ac:dyDescent="0.3">
      <c r="B1049" s="3"/>
      <c r="C1049" s="7"/>
      <c r="D1049" s="7"/>
      <c r="E1049" s="6"/>
      <c r="F1049" s="5"/>
      <c r="I1049" s="6"/>
      <c r="J1049" s="6"/>
      <c r="K1049" s="6"/>
    </row>
    <row r="1050" spans="2:11" x14ac:dyDescent="0.3">
      <c r="B1050" s="3"/>
      <c r="C1050" s="7"/>
      <c r="D1050" s="7"/>
      <c r="E1050" s="6"/>
      <c r="F1050" s="5"/>
      <c r="I1050" s="6"/>
      <c r="J1050" s="6"/>
      <c r="K1050" s="6"/>
    </row>
    <row r="1051" spans="2:11" x14ac:dyDescent="0.3">
      <c r="B1051" s="3"/>
      <c r="C1051" s="7"/>
      <c r="D1051" s="7"/>
      <c r="E1051" s="6"/>
      <c r="F1051" s="5"/>
      <c r="I1051" s="6"/>
      <c r="J1051" s="6"/>
      <c r="K1051" s="6"/>
    </row>
    <row r="1052" spans="2:11" x14ac:dyDescent="0.3">
      <c r="B1052" s="3"/>
      <c r="C1052" s="7"/>
      <c r="D1052" s="7"/>
      <c r="E1052" s="6"/>
      <c r="F1052" s="5"/>
      <c r="I1052" s="6"/>
      <c r="J1052" s="6"/>
      <c r="K1052" s="6"/>
    </row>
    <row r="1053" spans="2:11" x14ac:dyDescent="0.3">
      <c r="B1053" s="3"/>
      <c r="C1053" s="7"/>
      <c r="D1053" s="7"/>
      <c r="E1053" s="6"/>
      <c r="F1053" s="5"/>
      <c r="I1053" s="6"/>
      <c r="J1053" s="6"/>
      <c r="K1053" s="6"/>
    </row>
    <row r="1054" spans="2:11" x14ac:dyDescent="0.3">
      <c r="B1054" s="3"/>
      <c r="C1054" s="7"/>
      <c r="D1054" s="7"/>
      <c r="E1054" s="6"/>
      <c r="F1054" s="5"/>
      <c r="I1054" s="6"/>
      <c r="J1054" s="6"/>
      <c r="K1054" s="6"/>
    </row>
    <row r="1055" spans="2:11" x14ac:dyDescent="0.3">
      <c r="B1055" s="3"/>
      <c r="C1055" s="7"/>
      <c r="D1055" s="7"/>
      <c r="E1055" s="6"/>
      <c r="F1055" s="5"/>
      <c r="I1055" s="6"/>
      <c r="J1055" s="6"/>
      <c r="K1055" s="6"/>
    </row>
    <row r="1056" spans="2:11" x14ac:dyDescent="0.3">
      <c r="B1056" s="3"/>
      <c r="C1056" s="7"/>
      <c r="D1056" s="7"/>
      <c r="E1056" s="6"/>
      <c r="F1056" s="5"/>
      <c r="I1056" s="6"/>
      <c r="J1056" s="6"/>
      <c r="K1056" s="6"/>
    </row>
    <row r="1057" spans="2:11" x14ac:dyDescent="0.3">
      <c r="B1057" s="3"/>
      <c r="C1057" s="7"/>
      <c r="D1057" s="7"/>
      <c r="E1057" s="6"/>
      <c r="F1057" s="5"/>
      <c r="I1057" s="6"/>
      <c r="J1057" s="6"/>
      <c r="K1057" s="6"/>
    </row>
    <row r="1058" spans="2:11" x14ac:dyDescent="0.3">
      <c r="B1058" s="3"/>
      <c r="C1058" s="7"/>
      <c r="D1058" s="7"/>
      <c r="E1058" s="6"/>
      <c r="F1058" s="5"/>
      <c r="I1058" s="6"/>
      <c r="J1058" s="6"/>
      <c r="K1058" s="6"/>
    </row>
    <row r="1059" spans="2:11" x14ac:dyDescent="0.3">
      <c r="B1059" s="3"/>
      <c r="C1059" s="7"/>
      <c r="D1059" s="7"/>
      <c r="E1059" s="6"/>
      <c r="F1059" s="5"/>
      <c r="I1059" s="6"/>
      <c r="J1059" s="6"/>
      <c r="K1059" s="6"/>
    </row>
    <row r="1060" spans="2:11" x14ac:dyDescent="0.3">
      <c r="B1060" s="3"/>
      <c r="C1060" s="7"/>
      <c r="D1060" s="7"/>
      <c r="E1060" s="6"/>
      <c r="F1060" s="5"/>
      <c r="I1060" s="6"/>
      <c r="J1060" s="6"/>
      <c r="K1060" s="6"/>
    </row>
    <row r="1061" spans="2:11" x14ac:dyDescent="0.3">
      <c r="B1061" s="3"/>
      <c r="C1061" s="7"/>
      <c r="D1061" s="7"/>
      <c r="E1061" s="6"/>
      <c r="F1061" s="5"/>
      <c r="I1061" s="6"/>
      <c r="J1061" s="6"/>
      <c r="K1061" s="6"/>
    </row>
    <row r="1062" spans="2:11" x14ac:dyDescent="0.3">
      <c r="B1062" s="3"/>
      <c r="C1062" s="7"/>
      <c r="D1062" s="7"/>
      <c r="E1062" s="6"/>
      <c r="F1062" s="5"/>
      <c r="I1062" s="6"/>
      <c r="J1062" s="6"/>
      <c r="K1062" s="6"/>
    </row>
    <row r="1063" spans="2:11" x14ac:dyDescent="0.3">
      <c r="B1063" s="3"/>
      <c r="C1063" s="7"/>
      <c r="D1063" s="7"/>
      <c r="E1063" s="6"/>
      <c r="F1063" s="5"/>
      <c r="I1063" s="6"/>
      <c r="J1063" s="6"/>
      <c r="K1063" s="6"/>
    </row>
    <row r="1064" spans="2:11" x14ac:dyDescent="0.3">
      <c r="B1064" s="3"/>
      <c r="C1064" s="7"/>
      <c r="D1064" s="7"/>
      <c r="E1064" s="6"/>
      <c r="F1064" s="5"/>
      <c r="I1064" s="6"/>
      <c r="J1064" s="6"/>
      <c r="K1064" s="6"/>
    </row>
    <row r="1065" spans="2:11" x14ac:dyDescent="0.3">
      <c r="B1065" s="3"/>
      <c r="C1065" s="7"/>
      <c r="D1065" s="7"/>
      <c r="E1065" s="6"/>
      <c r="F1065" s="5"/>
      <c r="I1065" s="6"/>
      <c r="J1065" s="6"/>
      <c r="K1065" s="6"/>
    </row>
    <row r="1066" spans="2:11" x14ac:dyDescent="0.3">
      <c r="B1066" s="3"/>
      <c r="C1066" s="7"/>
      <c r="D1066" s="7"/>
      <c r="E1066" s="6"/>
      <c r="F1066" s="5"/>
      <c r="I1066" s="6"/>
      <c r="J1066" s="6"/>
      <c r="K1066" s="6"/>
    </row>
    <row r="1067" spans="2:11" x14ac:dyDescent="0.3">
      <c r="B1067" s="3"/>
      <c r="C1067" s="7"/>
      <c r="D1067" s="7"/>
      <c r="E1067" s="6"/>
      <c r="F1067" s="5"/>
      <c r="I1067" s="6"/>
      <c r="J1067" s="6"/>
      <c r="K1067" s="6"/>
    </row>
    <row r="1068" spans="2:11" x14ac:dyDescent="0.3">
      <c r="B1068" s="3"/>
      <c r="C1068" s="7"/>
      <c r="D1068" s="7"/>
      <c r="E1068" s="6"/>
      <c r="F1068" s="5"/>
      <c r="I1068" s="6"/>
      <c r="J1068" s="6"/>
      <c r="K1068" s="6"/>
    </row>
    <row r="1069" spans="2:11" x14ac:dyDescent="0.3">
      <c r="B1069" s="3"/>
      <c r="C1069" s="7"/>
      <c r="D1069" s="7"/>
      <c r="E1069" s="6"/>
      <c r="F1069" s="5"/>
      <c r="I1069" s="6"/>
      <c r="J1069" s="6"/>
      <c r="K1069" s="6"/>
    </row>
    <row r="1070" spans="2:11" x14ac:dyDescent="0.3">
      <c r="B1070" s="3"/>
      <c r="C1070" s="7"/>
      <c r="D1070" s="7"/>
      <c r="E1070" s="6"/>
      <c r="F1070" s="5"/>
      <c r="I1070" s="6"/>
      <c r="J1070" s="6"/>
      <c r="K1070" s="6"/>
    </row>
    <row r="1071" spans="2:11" x14ac:dyDescent="0.3">
      <c r="B1071" s="3"/>
      <c r="C1071" s="7"/>
      <c r="D1071" s="7"/>
      <c r="E1071" s="6"/>
      <c r="F1071" s="5"/>
      <c r="I1071" s="6"/>
      <c r="J1071" s="6"/>
      <c r="K1071" s="6"/>
    </row>
    <row r="1072" spans="2:11" x14ac:dyDescent="0.3">
      <c r="B1072" s="3"/>
      <c r="C1072" s="7"/>
      <c r="D1072" s="7"/>
      <c r="E1072" s="6"/>
      <c r="F1072" s="5"/>
      <c r="I1072" s="6"/>
      <c r="J1072" s="6"/>
      <c r="K1072" s="6"/>
    </row>
    <row r="1073" spans="2:11" x14ac:dyDescent="0.3">
      <c r="B1073" s="3"/>
      <c r="C1073" s="7"/>
      <c r="D1073" s="7"/>
      <c r="E1073" s="6"/>
      <c r="F1073" s="5"/>
      <c r="I1073" s="6"/>
      <c r="J1073" s="6"/>
      <c r="K1073" s="6"/>
    </row>
    <row r="1074" spans="2:11" x14ac:dyDescent="0.3">
      <c r="B1074" s="3"/>
      <c r="C1074" s="7"/>
      <c r="D1074" s="7"/>
      <c r="E1074" s="6"/>
      <c r="F1074" s="5"/>
      <c r="I1074" s="6"/>
      <c r="J1074" s="6"/>
      <c r="K1074" s="6"/>
    </row>
    <row r="1075" spans="2:11" x14ac:dyDescent="0.3">
      <c r="B1075" s="3"/>
      <c r="C1075" s="7"/>
      <c r="D1075" s="7"/>
      <c r="E1075" s="6"/>
      <c r="F1075" s="5"/>
      <c r="I1075" s="6"/>
      <c r="J1075" s="6"/>
      <c r="K1075" s="6"/>
    </row>
    <row r="1076" spans="2:11" x14ac:dyDescent="0.3">
      <c r="B1076" s="3"/>
      <c r="C1076" s="7"/>
      <c r="D1076" s="7"/>
      <c r="E1076" s="6"/>
      <c r="F1076" s="5"/>
      <c r="I1076" s="6"/>
      <c r="J1076" s="6"/>
      <c r="K1076" s="6"/>
    </row>
    <row r="1077" spans="2:11" x14ac:dyDescent="0.3">
      <c r="B1077" s="3"/>
      <c r="C1077" s="7"/>
      <c r="D1077" s="7"/>
      <c r="E1077" s="6"/>
      <c r="F1077" s="5"/>
      <c r="I1077" s="6"/>
      <c r="J1077" s="6"/>
      <c r="K1077" s="6"/>
    </row>
    <row r="1078" spans="2:11" x14ac:dyDescent="0.3">
      <c r="B1078" s="3"/>
      <c r="C1078" s="7"/>
      <c r="D1078" s="7"/>
      <c r="E1078" s="6"/>
      <c r="F1078" s="5"/>
      <c r="I1078" s="6"/>
      <c r="J1078" s="6"/>
      <c r="K1078" s="6"/>
    </row>
    <row r="1079" spans="2:11" x14ac:dyDescent="0.3">
      <c r="B1079" s="3"/>
      <c r="C1079" s="7"/>
      <c r="D1079" s="7"/>
      <c r="E1079" s="6"/>
      <c r="F1079" s="5"/>
      <c r="I1079" s="6"/>
      <c r="J1079" s="6"/>
      <c r="K1079" s="6"/>
    </row>
    <row r="1080" spans="2:11" x14ac:dyDescent="0.3">
      <c r="B1080" s="3"/>
      <c r="C1080" s="7"/>
      <c r="D1080" s="7"/>
      <c r="E1080" s="6"/>
      <c r="F1080" s="5"/>
      <c r="I1080" s="6"/>
      <c r="J1080" s="6"/>
      <c r="K1080" s="6"/>
    </row>
    <row r="1081" spans="2:11" x14ac:dyDescent="0.3">
      <c r="B1081" s="3"/>
      <c r="C1081" s="7"/>
      <c r="D1081" s="7"/>
      <c r="E1081" s="6"/>
      <c r="F1081" s="5"/>
      <c r="I1081" s="6"/>
      <c r="J1081" s="6"/>
      <c r="K1081" s="6"/>
    </row>
    <row r="1082" spans="2:11" x14ac:dyDescent="0.3">
      <c r="B1082" s="3"/>
      <c r="C1082" s="7"/>
      <c r="D1082" s="7"/>
      <c r="E1082" s="6"/>
      <c r="F1082" s="5"/>
      <c r="I1082" s="6"/>
      <c r="J1082" s="6"/>
      <c r="K1082" s="6"/>
    </row>
    <row r="1083" spans="2:11" x14ac:dyDescent="0.3">
      <c r="B1083" s="3"/>
      <c r="C1083" s="7"/>
      <c r="D1083" s="7"/>
      <c r="E1083" s="6"/>
      <c r="F1083" s="5"/>
      <c r="I1083" s="6"/>
      <c r="J1083" s="6"/>
      <c r="K1083" s="6"/>
    </row>
    <row r="1084" spans="2:11" x14ac:dyDescent="0.3">
      <c r="B1084" s="3"/>
      <c r="C1084" s="7"/>
      <c r="D1084" s="7"/>
      <c r="E1084" s="6"/>
      <c r="F1084" s="5"/>
      <c r="I1084" s="6"/>
      <c r="J1084" s="6"/>
      <c r="K1084" s="6"/>
    </row>
    <row r="1085" spans="2:11" x14ac:dyDescent="0.3">
      <c r="B1085" s="3"/>
      <c r="C1085" s="7"/>
      <c r="D1085" s="7"/>
      <c r="E1085" s="6"/>
      <c r="F1085" s="5"/>
      <c r="I1085" s="6"/>
      <c r="J1085" s="6"/>
      <c r="K1085" s="6"/>
    </row>
    <row r="1086" spans="2:11" x14ac:dyDescent="0.3">
      <c r="B1086" s="3"/>
      <c r="C1086" s="7"/>
      <c r="D1086" s="7"/>
      <c r="E1086" s="6"/>
      <c r="F1086" s="5"/>
      <c r="I1086" s="6"/>
      <c r="J1086" s="6"/>
      <c r="K1086" s="6"/>
    </row>
    <row r="1087" spans="2:11" x14ac:dyDescent="0.3">
      <c r="B1087" s="3"/>
      <c r="C1087" s="7"/>
      <c r="D1087" s="7"/>
      <c r="E1087" s="6"/>
      <c r="F1087" s="5"/>
      <c r="I1087" s="6"/>
      <c r="J1087" s="6"/>
      <c r="K1087" s="6"/>
    </row>
    <row r="1088" spans="2:11" x14ac:dyDescent="0.3">
      <c r="B1088" s="3"/>
      <c r="C1088" s="7"/>
      <c r="D1088" s="7"/>
      <c r="E1088" s="6"/>
      <c r="F1088" s="5"/>
      <c r="I1088" s="6"/>
      <c r="J1088" s="6"/>
      <c r="K1088" s="6"/>
    </row>
    <row r="1089" spans="2:11" x14ac:dyDescent="0.3">
      <c r="B1089" s="3"/>
      <c r="C1089" s="7"/>
      <c r="D1089" s="7"/>
      <c r="E1089" s="6"/>
      <c r="F1089" s="5"/>
      <c r="I1089" s="6"/>
      <c r="J1089" s="6"/>
      <c r="K1089" s="6"/>
    </row>
    <row r="1090" spans="2:11" x14ac:dyDescent="0.3">
      <c r="B1090" s="3"/>
      <c r="C1090" s="7"/>
      <c r="D1090" s="7"/>
      <c r="E1090" s="6"/>
      <c r="F1090" s="5"/>
      <c r="I1090" s="6"/>
      <c r="J1090" s="6"/>
      <c r="K1090" s="6"/>
    </row>
    <row r="1091" spans="2:11" x14ac:dyDescent="0.3">
      <c r="B1091" s="3"/>
      <c r="C1091" s="7"/>
      <c r="D1091" s="7"/>
      <c r="E1091" s="6"/>
      <c r="F1091" s="5"/>
      <c r="I1091" s="6"/>
      <c r="J1091" s="6"/>
      <c r="K1091" s="6"/>
    </row>
    <row r="1092" spans="2:11" x14ac:dyDescent="0.3">
      <c r="B1092" s="3"/>
      <c r="C1092" s="7"/>
      <c r="D1092" s="7"/>
      <c r="E1092" s="6"/>
      <c r="F1092" s="5"/>
      <c r="I1092" s="6"/>
      <c r="J1092" s="6"/>
      <c r="K1092" s="6"/>
    </row>
    <row r="1093" spans="2:11" x14ac:dyDescent="0.3">
      <c r="B1093" s="3"/>
      <c r="C1093" s="7"/>
      <c r="D1093" s="7"/>
      <c r="E1093" s="6"/>
      <c r="F1093" s="5"/>
      <c r="I1093" s="6"/>
      <c r="J1093" s="6"/>
      <c r="K1093" s="6"/>
    </row>
    <row r="1094" spans="2:11" x14ac:dyDescent="0.3">
      <c r="B1094" s="3"/>
      <c r="C1094" s="7"/>
      <c r="D1094" s="7"/>
      <c r="E1094" s="6"/>
      <c r="F1094" s="5"/>
      <c r="I1094" s="6"/>
      <c r="J1094" s="6"/>
      <c r="K1094" s="6"/>
    </row>
    <row r="1095" spans="2:11" x14ac:dyDescent="0.3">
      <c r="B1095" s="3"/>
      <c r="C1095" s="7"/>
      <c r="D1095" s="7"/>
      <c r="E1095" s="6"/>
      <c r="F1095" s="5"/>
      <c r="I1095" s="6"/>
      <c r="J1095" s="6"/>
      <c r="K1095" s="6"/>
    </row>
    <row r="1096" spans="2:11" x14ac:dyDescent="0.3">
      <c r="B1096" s="3"/>
      <c r="C1096" s="7"/>
      <c r="D1096" s="7"/>
      <c r="E1096" s="6"/>
      <c r="F1096" s="5"/>
      <c r="I1096" s="6"/>
      <c r="J1096" s="6"/>
      <c r="K1096" s="6"/>
    </row>
    <row r="1097" spans="2:11" x14ac:dyDescent="0.3">
      <c r="B1097" s="3"/>
      <c r="C1097" s="7"/>
      <c r="D1097" s="7"/>
      <c r="E1097" s="6"/>
      <c r="F1097" s="5"/>
      <c r="I1097" s="6"/>
      <c r="J1097" s="6"/>
      <c r="K1097" s="6"/>
    </row>
    <row r="1098" spans="2:11" x14ac:dyDescent="0.3">
      <c r="B1098" s="3"/>
      <c r="C1098" s="7"/>
      <c r="D1098" s="7"/>
      <c r="E1098" s="6"/>
      <c r="F1098" s="5"/>
      <c r="I1098" s="6"/>
      <c r="J1098" s="6"/>
      <c r="K1098" s="6"/>
    </row>
    <row r="1099" spans="2:11" x14ac:dyDescent="0.3">
      <c r="B1099" s="3"/>
      <c r="C1099" s="7"/>
      <c r="D1099" s="7"/>
      <c r="E1099" s="6"/>
      <c r="F1099" s="5"/>
      <c r="I1099" s="6"/>
      <c r="J1099" s="6"/>
      <c r="K1099" s="6"/>
    </row>
    <row r="1100" spans="2:11" x14ac:dyDescent="0.3">
      <c r="B1100" s="3"/>
      <c r="C1100" s="7"/>
      <c r="D1100" s="7"/>
      <c r="E1100" s="6"/>
      <c r="F1100" s="5"/>
      <c r="I1100" s="6"/>
      <c r="J1100" s="6"/>
      <c r="K1100" s="6"/>
    </row>
    <row r="1101" spans="2:11" x14ac:dyDescent="0.3">
      <c r="B1101" s="3"/>
      <c r="C1101" s="7"/>
      <c r="D1101" s="7"/>
      <c r="E1101" s="6"/>
      <c r="F1101" s="5"/>
      <c r="I1101" s="6"/>
      <c r="J1101" s="6"/>
      <c r="K1101" s="6"/>
    </row>
    <row r="1102" spans="2:11" x14ac:dyDescent="0.3">
      <c r="B1102" s="3"/>
      <c r="C1102" s="7"/>
      <c r="D1102" s="7"/>
      <c r="E1102" s="6"/>
      <c r="F1102" s="5"/>
      <c r="I1102" s="6"/>
      <c r="J1102" s="6"/>
      <c r="K1102" s="6"/>
    </row>
    <row r="1103" spans="2:11" x14ac:dyDescent="0.3">
      <c r="B1103" s="3"/>
      <c r="C1103" s="7"/>
      <c r="D1103" s="7"/>
      <c r="E1103" s="6"/>
      <c r="F1103" s="5"/>
      <c r="I1103" s="6"/>
      <c r="J1103" s="6"/>
      <c r="K1103" s="6"/>
    </row>
    <row r="1104" spans="2:11" x14ac:dyDescent="0.3">
      <c r="B1104" s="3"/>
      <c r="C1104" s="7"/>
      <c r="D1104" s="7"/>
      <c r="E1104" s="6"/>
      <c r="F1104" s="5"/>
      <c r="I1104" s="6"/>
      <c r="J1104" s="6"/>
      <c r="K1104" s="6"/>
    </row>
    <row r="1105" spans="2:11" x14ac:dyDescent="0.3">
      <c r="B1105" s="3"/>
      <c r="C1105" s="7"/>
      <c r="D1105" s="7"/>
      <c r="E1105" s="6"/>
      <c r="F1105" s="5"/>
      <c r="I1105" s="6"/>
      <c r="J1105" s="6"/>
      <c r="K1105" s="6"/>
    </row>
    <row r="1106" spans="2:11" x14ac:dyDescent="0.3">
      <c r="B1106" s="3"/>
      <c r="C1106" s="7"/>
      <c r="D1106" s="7"/>
      <c r="E1106" s="6"/>
      <c r="F1106" s="5"/>
      <c r="I1106" s="6"/>
      <c r="J1106" s="6"/>
      <c r="K1106" s="6"/>
    </row>
    <row r="1107" spans="2:11" x14ac:dyDescent="0.3">
      <c r="B1107" s="3"/>
      <c r="C1107" s="7"/>
      <c r="D1107" s="7"/>
      <c r="E1107" s="6"/>
      <c r="F1107" s="5"/>
      <c r="I1107" s="6"/>
      <c r="J1107" s="6"/>
      <c r="K1107" s="6"/>
    </row>
    <row r="1108" spans="2:11" x14ac:dyDescent="0.3">
      <c r="B1108" s="3"/>
      <c r="C1108" s="7"/>
      <c r="D1108" s="7"/>
      <c r="E1108" s="6"/>
      <c r="F1108" s="5"/>
      <c r="I1108" s="6"/>
      <c r="J1108" s="6"/>
      <c r="K1108" s="6"/>
    </row>
    <row r="1109" spans="2:11" x14ac:dyDescent="0.3">
      <c r="B1109" s="3"/>
      <c r="C1109" s="7"/>
      <c r="D1109" s="7"/>
      <c r="E1109" s="6"/>
      <c r="F1109" s="5"/>
      <c r="I1109" s="6"/>
      <c r="J1109" s="6"/>
      <c r="K1109" s="6"/>
    </row>
    <row r="1110" spans="2:11" x14ac:dyDescent="0.3">
      <c r="B1110" s="3"/>
      <c r="C1110" s="7"/>
      <c r="D1110" s="7"/>
      <c r="E1110" s="6"/>
      <c r="F1110" s="5"/>
      <c r="I1110" s="6"/>
      <c r="J1110" s="6"/>
      <c r="K1110" s="6"/>
    </row>
    <row r="1111" spans="2:11" x14ac:dyDescent="0.3">
      <c r="B1111" s="3"/>
      <c r="C1111" s="7"/>
      <c r="D1111" s="7"/>
      <c r="E1111" s="6"/>
      <c r="F1111" s="5"/>
      <c r="I1111" s="6"/>
      <c r="J1111" s="6"/>
      <c r="K1111" s="6"/>
    </row>
    <row r="1112" spans="2:11" x14ac:dyDescent="0.3">
      <c r="B1112" s="3"/>
      <c r="C1112" s="7"/>
      <c r="D1112" s="7"/>
      <c r="E1112" s="6"/>
      <c r="F1112" s="5"/>
      <c r="I1112" s="6"/>
      <c r="J1112" s="6"/>
      <c r="K1112" s="6"/>
    </row>
    <row r="1113" spans="2:11" x14ac:dyDescent="0.3">
      <c r="B1113" s="3"/>
      <c r="C1113" s="7"/>
      <c r="D1113" s="7"/>
      <c r="E1113" s="6"/>
      <c r="F1113" s="5"/>
      <c r="I1113" s="6"/>
      <c r="J1113" s="6"/>
      <c r="K1113" s="6"/>
    </row>
    <row r="1114" spans="2:11" x14ac:dyDescent="0.3">
      <c r="B1114" s="3"/>
      <c r="C1114" s="7"/>
      <c r="D1114" s="7"/>
      <c r="E1114" s="6"/>
      <c r="F1114" s="5"/>
      <c r="I1114" s="6"/>
      <c r="J1114" s="6"/>
      <c r="K1114" s="6"/>
    </row>
    <row r="1115" spans="2:11" x14ac:dyDescent="0.3">
      <c r="B1115" s="3"/>
      <c r="C1115" s="7"/>
      <c r="D1115" s="7"/>
      <c r="E1115" s="6"/>
      <c r="F1115" s="5"/>
      <c r="I1115" s="6"/>
      <c r="J1115" s="6"/>
      <c r="K1115" s="6"/>
    </row>
    <row r="1116" spans="2:11" x14ac:dyDescent="0.3">
      <c r="B1116" s="3"/>
      <c r="C1116" s="7"/>
      <c r="D1116" s="7"/>
      <c r="E1116" s="6"/>
      <c r="F1116" s="5"/>
      <c r="I1116" s="6"/>
      <c r="J1116" s="6"/>
      <c r="K1116" s="6"/>
    </row>
    <row r="1117" spans="2:11" x14ac:dyDescent="0.3">
      <c r="B1117" s="3"/>
      <c r="C1117" s="7"/>
      <c r="D1117" s="7"/>
      <c r="E1117" s="6"/>
      <c r="F1117" s="5"/>
      <c r="I1117" s="6"/>
      <c r="J1117" s="6"/>
      <c r="K1117" s="6"/>
    </row>
    <row r="1118" spans="2:11" x14ac:dyDescent="0.3">
      <c r="B1118" s="3"/>
      <c r="C1118" s="7"/>
      <c r="D1118" s="7"/>
      <c r="E1118" s="6"/>
      <c r="F1118" s="5"/>
      <c r="I1118" s="6"/>
      <c r="J1118" s="6"/>
      <c r="K1118" s="6"/>
    </row>
    <row r="1119" spans="2:11" x14ac:dyDescent="0.3">
      <c r="B1119" s="3"/>
      <c r="C1119" s="7"/>
      <c r="D1119" s="7"/>
      <c r="E1119" s="6"/>
      <c r="F1119" s="5"/>
      <c r="I1119" s="6"/>
      <c r="J1119" s="6"/>
      <c r="K1119" s="6"/>
    </row>
    <row r="1120" spans="2:11" x14ac:dyDescent="0.3">
      <c r="B1120" s="3"/>
      <c r="C1120" s="7"/>
      <c r="D1120" s="7"/>
      <c r="E1120" s="6"/>
      <c r="F1120" s="5"/>
      <c r="I1120" s="6"/>
      <c r="J1120" s="6"/>
      <c r="K1120" s="6"/>
    </row>
    <row r="1121" spans="2:11" x14ac:dyDescent="0.3">
      <c r="B1121" s="3"/>
      <c r="C1121" s="7"/>
      <c r="D1121" s="7"/>
      <c r="E1121" s="6"/>
      <c r="F1121" s="5"/>
      <c r="I1121" s="6"/>
      <c r="J1121" s="6"/>
      <c r="K1121" s="6"/>
    </row>
    <row r="1122" spans="2:11" x14ac:dyDescent="0.3">
      <c r="B1122" s="3"/>
      <c r="C1122" s="7"/>
      <c r="D1122" s="7"/>
      <c r="E1122" s="6"/>
      <c r="F1122" s="5"/>
      <c r="I1122" s="6"/>
      <c r="J1122" s="6"/>
      <c r="K1122" s="6"/>
    </row>
    <row r="1123" spans="2:11" x14ac:dyDescent="0.3">
      <c r="B1123" s="3"/>
      <c r="C1123" s="7"/>
      <c r="D1123" s="7"/>
      <c r="E1123" s="6"/>
      <c r="F1123" s="5"/>
      <c r="I1123" s="6"/>
      <c r="J1123" s="6"/>
      <c r="K1123" s="6"/>
    </row>
    <row r="1124" spans="2:11" x14ac:dyDescent="0.3">
      <c r="B1124" s="3"/>
      <c r="C1124" s="7"/>
      <c r="D1124" s="7"/>
      <c r="E1124" s="6"/>
      <c r="F1124" s="5"/>
      <c r="I1124" s="6"/>
      <c r="J1124" s="6"/>
      <c r="K1124" s="6"/>
    </row>
    <row r="1125" spans="2:11" x14ac:dyDescent="0.3">
      <c r="B1125" s="3"/>
      <c r="C1125" s="7"/>
      <c r="D1125" s="7"/>
      <c r="E1125" s="6"/>
      <c r="F1125" s="5"/>
      <c r="I1125" s="6"/>
      <c r="J1125" s="6"/>
      <c r="K1125" s="6"/>
    </row>
    <row r="1126" spans="2:11" x14ac:dyDescent="0.3">
      <c r="B1126" s="3"/>
      <c r="C1126" s="7"/>
      <c r="D1126" s="7"/>
      <c r="E1126" s="6"/>
      <c r="F1126" s="5"/>
      <c r="I1126" s="6"/>
      <c r="J1126" s="6"/>
      <c r="K1126" s="6"/>
    </row>
    <row r="1127" spans="2:11" x14ac:dyDescent="0.3">
      <c r="B1127" s="3"/>
      <c r="C1127" s="7"/>
      <c r="D1127" s="7"/>
      <c r="E1127" s="6"/>
      <c r="F1127" s="5"/>
      <c r="I1127" s="6"/>
      <c r="J1127" s="6"/>
      <c r="K1127" s="6"/>
    </row>
    <row r="1128" spans="2:11" x14ac:dyDescent="0.3">
      <c r="B1128" s="3"/>
      <c r="C1128" s="7"/>
      <c r="D1128" s="7"/>
      <c r="E1128" s="6"/>
      <c r="F1128" s="5"/>
      <c r="I1128" s="6"/>
      <c r="J1128" s="6"/>
      <c r="K1128" s="6"/>
    </row>
    <row r="1129" spans="2:11" x14ac:dyDescent="0.3">
      <c r="B1129" s="3"/>
      <c r="C1129" s="7"/>
      <c r="D1129" s="7"/>
      <c r="E1129" s="6"/>
      <c r="F1129" s="5"/>
      <c r="I1129" s="6"/>
      <c r="J1129" s="6"/>
      <c r="K1129" s="6"/>
    </row>
    <row r="1130" spans="2:11" x14ac:dyDescent="0.3">
      <c r="B1130" s="3"/>
      <c r="C1130" s="7"/>
      <c r="D1130" s="7"/>
      <c r="E1130" s="6"/>
      <c r="F1130" s="5"/>
      <c r="I1130" s="6"/>
      <c r="J1130" s="6"/>
      <c r="K1130" s="6"/>
    </row>
    <row r="1131" spans="2:11" x14ac:dyDescent="0.3">
      <c r="B1131" s="3"/>
      <c r="C1131" s="7"/>
      <c r="D1131" s="7"/>
      <c r="E1131" s="6"/>
      <c r="F1131" s="5"/>
      <c r="I1131" s="6"/>
      <c r="J1131" s="6"/>
      <c r="K1131" s="6"/>
    </row>
    <row r="1132" spans="2:11" x14ac:dyDescent="0.3">
      <c r="B1132" s="3"/>
      <c r="C1132" s="7"/>
      <c r="D1132" s="7"/>
      <c r="E1132" s="6"/>
      <c r="F1132" s="5"/>
      <c r="I1132" s="6"/>
      <c r="J1132" s="6"/>
      <c r="K1132" s="6"/>
    </row>
    <row r="1133" spans="2:11" x14ac:dyDescent="0.3">
      <c r="B1133" s="3"/>
      <c r="C1133" s="7"/>
      <c r="D1133" s="7"/>
      <c r="E1133" s="6"/>
      <c r="F1133" s="5"/>
      <c r="I1133" s="6"/>
      <c r="J1133" s="6"/>
      <c r="K1133" s="6"/>
    </row>
    <row r="1134" spans="2:11" x14ac:dyDescent="0.3">
      <c r="B1134" s="3"/>
      <c r="C1134" s="7"/>
      <c r="D1134" s="7"/>
      <c r="E1134" s="6"/>
      <c r="F1134" s="5"/>
      <c r="I1134" s="6"/>
      <c r="J1134" s="6"/>
      <c r="K1134" s="6"/>
    </row>
    <row r="1135" spans="2:11" x14ac:dyDescent="0.3">
      <c r="B1135" s="3"/>
      <c r="C1135" s="7"/>
      <c r="D1135" s="7"/>
      <c r="E1135" s="6"/>
      <c r="F1135" s="5"/>
      <c r="I1135" s="6"/>
      <c r="J1135" s="6"/>
      <c r="K1135" s="6"/>
    </row>
    <row r="1136" spans="2:11" x14ac:dyDescent="0.3">
      <c r="B1136" s="3"/>
      <c r="C1136" s="7"/>
      <c r="D1136" s="7"/>
      <c r="E1136" s="6"/>
      <c r="F1136" s="5"/>
      <c r="I1136" s="6"/>
      <c r="J1136" s="6"/>
      <c r="K1136" s="6"/>
    </row>
    <row r="1137" spans="2:11" x14ac:dyDescent="0.3">
      <c r="B1137" s="3"/>
      <c r="C1137" s="7"/>
      <c r="D1137" s="7"/>
      <c r="E1137" s="6"/>
      <c r="F1137" s="5"/>
      <c r="I1137" s="6"/>
      <c r="J1137" s="6"/>
      <c r="K1137" s="6"/>
    </row>
    <row r="1138" spans="2:11" x14ac:dyDescent="0.3">
      <c r="B1138" s="3"/>
      <c r="C1138" s="7"/>
      <c r="D1138" s="7"/>
      <c r="E1138" s="6"/>
      <c r="F1138" s="5"/>
      <c r="I1138" s="6"/>
      <c r="J1138" s="6"/>
      <c r="K1138" s="6"/>
    </row>
    <row r="1139" spans="2:11" x14ac:dyDescent="0.3">
      <c r="B1139" s="3"/>
      <c r="C1139" s="7"/>
      <c r="D1139" s="7"/>
      <c r="E1139" s="6"/>
      <c r="F1139" s="5"/>
      <c r="I1139" s="6"/>
      <c r="J1139" s="6"/>
      <c r="K1139" s="6"/>
    </row>
    <row r="1140" spans="2:11" x14ac:dyDescent="0.3">
      <c r="B1140" s="3"/>
      <c r="C1140" s="7"/>
      <c r="D1140" s="7"/>
      <c r="E1140" s="6"/>
      <c r="F1140" s="5"/>
      <c r="I1140" s="6"/>
      <c r="J1140" s="6"/>
      <c r="K1140" s="6"/>
    </row>
    <row r="1141" spans="2:11" x14ac:dyDescent="0.3">
      <c r="B1141" s="3"/>
      <c r="C1141" s="7"/>
      <c r="D1141" s="7"/>
      <c r="E1141" s="6"/>
      <c r="F1141" s="5"/>
      <c r="I1141" s="6"/>
      <c r="J1141" s="6"/>
      <c r="K1141" s="6"/>
    </row>
    <row r="1142" spans="2:11" x14ac:dyDescent="0.3">
      <c r="B1142" s="3"/>
      <c r="C1142" s="7"/>
      <c r="D1142" s="7"/>
      <c r="E1142" s="6"/>
      <c r="F1142" s="5"/>
      <c r="I1142" s="6"/>
      <c r="J1142" s="6"/>
      <c r="K1142" s="6"/>
    </row>
    <row r="1143" spans="2:11" x14ac:dyDescent="0.3">
      <c r="B1143" s="3"/>
      <c r="C1143" s="7"/>
      <c r="D1143" s="7"/>
      <c r="E1143" s="6"/>
      <c r="F1143" s="5"/>
      <c r="I1143" s="6"/>
      <c r="J1143" s="6"/>
      <c r="K1143" s="6"/>
    </row>
    <row r="1144" spans="2:11" x14ac:dyDescent="0.3">
      <c r="B1144" s="3"/>
      <c r="C1144" s="7"/>
      <c r="D1144" s="7"/>
      <c r="E1144" s="6"/>
      <c r="F1144" s="5"/>
      <c r="I1144" s="6"/>
      <c r="J1144" s="6"/>
      <c r="K1144" s="6"/>
    </row>
    <row r="1145" spans="2:11" x14ac:dyDescent="0.3">
      <c r="B1145" s="3"/>
      <c r="C1145" s="7"/>
      <c r="D1145" s="7"/>
      <c r="E1145" s="6"/>
      <c r="F1145" s="5"/>
      <c r="I1145" s="6"/>
      <c r="J1145" s="6"/>
      <c r="K1145" s="6"/>
    </row>
    <row r="1146" spans="2:11" x14ac:dyDescent="0.3">
      <c r="B1146" s="3"/>
      <c r="C1146" s="7"/>
      <c r="D1146" s="7"/>
      <c r="E1146" s="6"/>
      <c r="F1146" s="5"/>
      <c r="I1146" s="6"/>
      <c r="J1146" s="6"/>
      <c r="K1146" s="6"/>
    </row>
    <row r="1147" spans="2:11" x14ac:dyDescent="0.3">
      <c r="B1147" s="3"/>
      <c r="C1147" s="7"/>
      <c r="D1147" s="7"/>
      <c r="E1147" s="6"/>
      <c r="F1147" s="5"/>
      <c r="I1147" s="6"/>
      <c r="J1147" s="6"/>
      <c r="K1147" s="6"/>
    </row>
    <row r="1148" spans="2:11" x14ac:dyDescent="0.3">
      <c r="B1148" s="3"/>
      <c r="C1148" s="7"/>
      <c r="D1148" s="7"/>
      <c r="E1148" s="6"/>
      <c r="F1148" s="5"/>
      <c r="I1148" s="6"/>
      <c r="J1148" s="6"/>
      <c r="K1148" s="6"/>
    </row>
    <row r="1149" spans="2:11" x14ac:dyDescent="0.3">
      <c r="B1149" s="3"/>
      <c r="C1149" s="7"/>
      <c r="D1149" s="7"/>
      <c r="E1149" s="6"/>
      <c r="F1149" s="5"/>
      <c r="I1149" s="6"/>
      <c r="J1149" s="6"/>
      <c r="K1149" s="6"/>
    </row>
    <row r="1150" spans="2:11" x14ac:dyDescent="0.3">
      <c r="B1150" s="3"/>
      <c r="C1150" s="7"/>
      <c r="D1150" s="7"/>
      <c r="E1150" s="6"/>
      <c r="F1150" s="5"/>
      <c r="I1150" s="6"/>
      <c r="J1150" s="6"/>
      <c r="K1150" s="6"/>
    </row>
    <row r="1151" spans="2:11" x14ac:dyDescent="0.3">
      <c r="B1151" s="3"/>
      <c r="C1151" s="7"/>
      <c r="D1151" s="7"/>
      <c r="E1151" s="6"/>
      <c r="F1151" s="5"/>
      <c r="I1151" s="6"/>
      <c r="J1151" s="6"/>
      <c r="K1151" s="6"/>
    </row>
    <row r="1152" spans="2:11" x14ac:dyDescent="0.3">
      <c r="B1152" s="3"/>
      <c r="C1152" s="7"/>
      <c r="D1152" s="7"/>
      <c r="E1152" s="6"/>
      <c r="F1152" s="5"/>
      <c r="I1152" s="6"/>
      <c r="J1152" s="6"/>
      <c r="K1152" s="6"/>
    </row>
    <row r="1153" spans="2:11" x14ac:dyDescent="0.3">
      <c r="B1153" s="3"/>
      <c r="C1153" s="7"/>
      <c r="D1153" s="7"/>
      <c r="E1153" s="6"/>
      <c r="F1153" s="5"/>
      <c r="I1153" s="6"/>
      <c r="J1153" s="6"/>
      <c r="K1153" s="6"/>
    </row>
    <row r="1154" spans="2:11" x14ac:dyDescent="0.3">
      <c r="B1154" s="3"/>
      <c r="C1154" s="7"/>
      <c r="D1154" s="7"/>
      <c r="E1154" s="6"/>
      <c r="F1154" s="5"/>
      <c r="I1154" s="6"/>
      <c r="J1154" s="6"/>
      <c r="K1154" s="6"/>
    </row>
    <row r="1155" spans="2:11" x14ac:dyDescent="0.3">
      <c r="B1155" s="3"/>
      <c r="C1155" s="7"/>
      <c r="D1155" s="7"/>
      <c r="E1155" s="6"/>
      <c r="F1155" s="5"/>
      <c r="I1155" s="6"/>
      <c r="J1155" s="6"/>
      <c r="K1155" s="6"/>
    </row>
    <row r="1156" spans="2:11" x14ac:dyDescent="0.3">
      <c r="B1156" s="3"/>
      <c r="C1156" s="7"/>
      <c r="D1156" s="7"/>
      <c r="E1156" s="6"/>
      <c r="F1156" s="5"/>
      <c r="I1156" s="6"/>
      <c r="J1156" s="6"/>
      <c r="K1156" s="6"/>
    </row>
    <row r="1157" spans="2:11" x14ac:dyDescent="0.3">
      <c r="B1157" s="3"/>
      <c r="C1157" s="7"/>
      <c r="D1157" s="7"/>
      <c r="E1157" s="6"/>
      <c r="F1157" s="5"/>
      <c r="I1157" s="6"/>
      <c r="J1157" s="6"/>
      <c r="K1157" s="6"/>
    </row>
    <row r="1158" spans="2:11" x14ac:dyDescent="0.3">
      <c r="B1158" s="3"/>
      <c r="C1158" s="7"/>
      <c r="D1158" s="7"/>
      <c r="E1158" s="6"/>
      <c r="F1158" s="5"/>
      <c r="I1158" s="6"/>
      <c r="J1158" s="6"/>
      <c r="K1158" s="6"/>
    </row>
    <row r="1159" spans="2:11" x14ac:dyDescent="0.3">
      <c r="B1159" s="3"/>
      <c r="C1159" s="7"/>
      <c r="D1159" s="7"/>
      <c r="E1159" s="6"/>
      <c r="F1159" s="5"/>
      <c r="I1159" s="6"/>
      <c r="J1159" s="6"/>
      <c r="K1159" s="6"/>
    </row>
    <row r="1160" spans="2:11" x14ac:dyDescent="0.3">
      <c r="B1160" s="3"/>
      <c r="C1160" s="7"/>
      <c r="D1160" s="7"/>
      <c r="E1160" s="6"/>
      <c r="F1160" s="5"/>
      <c r="I1160" s="6"/>
      <c r="J1160" s="6"/>
      <c r="K1160" s="6"/>
    </row>
    <row r="1161" spans="2:11" x14ac:dyDescent="0.3">
      <c r="B1161" s="3"/>
      <c r="C1161" s="7"/>
      <c r="D1161" s="7"/>
      <c r="E1161" s="6"/>
      <c r="F1161" s="5"/>
      <c r="I1161" s="6"/>
      <c r="J1161" s="6"/>
      <c r="K1161" s="6"/>
    </row>
    <row r="1162" spans="2:11" x14ac:dyDescent="0.3">
      <c r="B1162" s="3"/>
      <c r="C1162" s="7"/>
      <c r="D1162" s="7"/>
      <c r="E1162" s="6"/>
      <c r="F1162" s="5"/>
      <c r="I1162" s="6"/>
      <c r="J1162" s="6"/>
      <c r="K1162" s="6"/>
    </row>
    <row r="1163" spans="2:11" x14ac:dyDescent="0.3">
      <c r="B1163" s="3"/>
      <c r="C1163" s="7"/>
      <c r="D1163" s="7"/>
      <c r="E1163" s="6"/>
      <c r="F1163" s="5"/>
      <c r="I1163" s="6"/>
      <c r="J1163" s="6"/>
      <c r="K1163" s="6"/>
    </row>
    <row r="1164" spans="2:11" x14ac:dyDescent="0.3">
      <c r="B1164" s="3"/>
      <c r="C1164" s="7"/>
      <c r="D1164" s="7"/>
      <c r="E1164" s="6"/>
      <c r="F1164" s="5"/>
      <c r="I1164" s="6"/>
      <c r="J1164" s="6"/>
      <c r="K1164" s="6"/>
    </row>
    <row r="1165" spans="2:11" x14ac:dyDescent="0.3">
      <c r="B1165" s="3"/>
      <c r="C1165" s="7"/>
      <c r="D1165" s="7"/>
      <c r="E1165" s="6"/>
      <c r="F1165" s="5"/>
      <c r="I1165" s="6"/>
      <c r="J1165" s="6"/>
      <c r="K1165" s="6"/>
    </row>
    <row r="1166" spans="2:11" x14ac:dyDescent="0.3">
      <c r="B1166" s="3"/>
      <c r="C1166" s="7"/>
      <c r="D1166" s="7"/>
      <c r="E1166" s="6"/>
      <c r="F1166" s="5"/>
      <c r="I1166" s="6"/>
      <c r="J1166" s="6"/>
      <c r="K1166" s="6"/>
    </row>
    <row r="1167" spans="2:11" x14ac:dyDescent="0.3">
      <c r="B1167" s="3"/>
      <c r="C1167" s="7"/>
      <c r="D1167" s="7"/>
      <c r="E1167" s="6"/>
      <c r="F1167" s="5"/>
      <c r="I1167" s="6"/>
      <c r="J1167" s="6"/>
      <c r="K1167" s="6"/>
    </row>
    <row r="1168" spans="2:11" x14ac:dyDescent="0.3">
      <c r="B1168" s="3"/>
      <c r="C1168" s="7"/>
      <c r="D1168" s="7"/>
      <c r="E1168" s="6"/>
      <c r="F1168" s="5"/>
      <c r="I1168" s="6"/>
      <c r="J1168" s="6"/>
      <c r="K1168" s="6"/>
    </row>
    <row r="1169" spans="2:11" x14ac:dyDescent="0.3">
      <c r="B1169" s="3"/>
      <c r="C1169" s="7"/>
      <c r="D1169" s="7"/>
      <c r="E1169" s="6"/>
      <c r="F1169" s="5"/>
      <c r="I1169" s="6"/>
      <c r="J1169" s="6"/>
      <c r="K1169" s="6"/>
    </row>
    <row r="1170" spans="2:11" x14ac:dyDescent="0.3">
      <c r="B1170" s="3"/>
      <c r="C1170" s="7"/>
      <c r="D1170" s="7"/>
      <c r="E1170" s="6"/>
      <c r="F1170" s="5"/>
      <c r="I1170" s="6"/>
      <c r="J1170" s="6"/>
      <c r="K1170" s="6"/>
    </row>
    <row r="1171" spans="2:11" x14ac:dyDescent="0.3">
      <c r="B1171" s="3"/>
      <c r="C1171" s="7"/>
      <c r="D1171" s="7"/>
      <c r="E1171" s="6"/>
      <c r="F1171" s="5"/>
      <c r="I1171" s="6"/>
      <c r="J1171" s="6"/>
      <c r="K1171" s="6"/>
    </row>
    <row r="1172" spans="2:11" x14ac:dyDescent="0.3">
      <c r="B1172" s="3"/>
      <c r="C1172" s="7"/>
      <c r="D1172" s="7"/>
      <c r="E1172" s="6"/>
      <c r="F1172" s="5"/>
      <c r="I1172" s="6"/>
      <c r="J1172" s="6"/>
      <c r="K1172" s="6"/>
    </row>
    <row r="1173" spans="2:11" x14ac:dyDescent="0.3">
      <c r="B1173" s="3"/>
      <c r="C1173" s="7"/>
      <c r="D1173" s="7"/>
      <c r="E1173" s="6"/>
      <c r="F1173" s="5"/>
      <c r="I1173" s="6"/>
      <c r="J1173" s="6"/>
      <c r="K1173" s="6"/>
    </row>
    <row r="1174" spans="2:11" x14ac:dyDescent="0.3">
      <c r="B1174" s="3"/>
      <c r="C1174" s="7"/>
      <c r="D1174" s="7"/>
      <c r="E1174" s="6"/>
      <c r="F1174" s="5"/>
      <c r="I1174" s="6"/>
      <c r="J1174" s="6"/>
      <c r="K1174" s="6"/>
    </row>
    <row r="1175" spans="2:11" x14ac:dyDescent="0.3">
      <c r="B1175" s="3"/>
      <c r="C1175" s="7"/>
      <c r="D1175" s="7"/>
      <c r="E1175" s="6"/>
      <c r="F1175" s="5"/>
      <c r="I1175" s="6"/>
      <c r="J1175" s="6"/>
      <c r="K1175" s="6"/>
    </row>
    <row r="1176" spans="2:11" x14ac:dyDescent="0.3">
      <c r="B1176" s="3"/>
      <c r="C1176" s="7"/>
      <c r="D1176" s="7"/>
      <c r="E1176" s="6"/>
      <c r="F1176" s="5"/>
      <c r="I1176" s="6"/>
      <c r="J1176" s="6"/>
      <c r="K1176" s="6"/>
    </row>
    <row r="1177" spans="2:11" x14ac:dyDescent="0.3">
      <c r="B1177" s="3"/>
      <c r="C1177" s="7"/>
      <c r="D1177" s="7"/>
      <c r="E1177" s="6"/>
      <c r="F1177" s="5"/>
      <c r="I1177" s="6"/>
      <c r="J1177" s="6"/>
      <c r="K1177" s="6"/>
    </row>
    <row r="1178" spans="2:11" x14ac:dyDescent="0.3">
      <c r="B1178" s="3"/>
      <c r="C1178" s="7"/>
      <c r="D1178" s="7"/>
      <c r="E1178" s="6"/>
      <c r="F1178" s="5"/>
      <c r="I1178" s="6"/>
      <c r="J1178" s="6"/>
      <c r="K1178" s="6"/>
    </row>
    <row r="1179" spans="2:11" x14ac:dyDescent="0.3">
      <c r="B1179" s="3"/>
      <c r="C1179" s="7"/>
      <c r="D1179" s="7"/>
      <c r="E1179" s="6"/>
      <c r="F1179" s="5"/>
      <c r="I1179" s="6"/>
      <c r="J1179" s="6"/>
      <c r="K1179" s="6"/>
    </row>
    <row r="1180" spans="2:11" x14ac:dyDescent="0.3">
      <c r="B1180" s="3"/>
      <c r="C1180" s="7"/>
      <c r="D1180" s="7"/>
      <c r="E1180" s="6"/>
      <c r="F1180" s="5"/>
      <c r="I1180" s="6"/>
      <c r="J1180" s="6"/>
      <c r="K1180" s="6"/>
    </row>
    <row r="1181" spans="2:11" x14ac:dyDescent="0.3">
      <c r="B1181" s="3"/>
      <c r="C1181" s="7"/>
      <c r="D1181" s="7"/>
      <c r="E1181" s="6"/>
      <c r="F1181" s="5"/>
      <c r="I1181" s="6"/>
      <c r="J1181" s="6"/>
      <c r="K1181" s="6"/>
    </row>
    <row r="1182" spans="2:11" x14ac:dyDescent="0.3">
      <c r="B1182" s="3"/>
      <c r="C1182" s="7"/>
      <c r="D1182" s="7"/>
      <c r="E1182" s="6"/>
      <c r="F1182" s="5"/>
      <c r="I1182" s="6"/>
      <c r="J1182" s="6"/>
      <c r="K1182" s="6"/>
    </row>
    <row r="1183" spans="2:11" x14ac:dyDescent="0.3">
      <c r="B1183" s="3"/>
      <c r="C1183" s="7"/>
      <c r="D1183" s="7"/>
      <c r="E1183" s="6"/>
      <c r="F1183" s="5"/>
      <c r="I1183" s="6"/>
      <c r="J1183" s="6"/>
      <c r="K1183" s="6"/>
    </row>
    <row r="1184" spans="2:11" x14ac:dyDescent="0.3">
      <c r="B1184" s="3"/>
      <c r="C1184" s="7"/>
      <c r="D1184" s="7"/>
      <c r="E1184" s="6"/>
      <c r="F1184" s="5"/>
      <c r="I1184" s="6"/>
      <c r="J1184" s="6"/>
      <c r="K1184" s="6"/>
    </row>
    <row r="1185" spans="2:11" x14ac:dyDescent="0.3">
      <c r="B1185" s="3"/>
      <c r="C1185" s="7"/>
      <c r="D1185" s="7"/>
      <c r="E1185" s="6"/>
      <c r="F1185" s="5"/>
      <c r="I1185" s="6"/>
      <c r="J1185" s="6"/>
      <c r="K1185" s="6"/>
    </row>
    <row r="1186" spans="2:11" x14ac:dyDescent="0.3">
      <c r="B1186" s="3"/>
      <c r="C1186" s="7"/>
      <c r="D1186" s="7"/>
      <c r="E1186" s="6"/>
      <c r="F1186" s="5"/>
      <c r="I1186" s="6"/>
      <c r="J1186" s="6"/>
      <c r="K1186" s="6"/>
    </row>
    <row r="1187" spans="2:11" x14ac:dyDescent="0.3">
      <c r="B1187" s="3"/>
      <c r="C1187" s="7"/>
      <c r="D1187" s="7"/>
      <c r="E1187" s="6"/>
      <c r="F1187" s="5"/>
      <c r="I1187" s="6"/>
      <c r="J1187" s="6"/>
      <c r="K1187" s="6"/>
    </row>
    <row r="1188" spans="2:11" x14ac:dyDescent="0.3">
      <c r="B1188" s="3"/>
      <c r="C1188" s="7"/>
      <c r="D1188" s="7"/>
      <c r="E1188" s="6"/>
      <c r="F1188" s="5"/>
      <c r="I1188" s="6"/>
      <c r="J1188" s="6"/>
      <c r="K1188" s="6"/>
    </row>
    <row r="1189" spans="2:11" x14ac:dyDescent="0.3">
      <c r="B1189" s="3"/>
      <c r="C1189" s="7"/>
      <c r="D1189" s="7"/>
      <c r="E1189" s="6"/>
      <c r="F1189" s="5"/>
      <c r="I1189" s="6"/>
      <c r="J1189" s="6"/>
      <c r="K1189" s="6"/>
    </row>
    <row r="1190" spans="2:11" x14ac:dyDescent="0.3">
      <c r="B1190" s="3"/>
      <c r="C1190" s="7"/>
      <c r="D1190" s="7"/>
      <c r="E1190" s="6"/>
      <c r="F1190" s="5"/>
      <c r="I1190" s="6"/>
      <c r="J1190" s="6"/>
      <c r="K1190" s="6"/>
    </row>
    <row r="1191" spans="2:11" x14ac:dyDescent="0.3">
      <c r="B1191" s="3"/>
      <c r="C1191" s="7"/>
      <c r="D1191" s="7"/>
      <c r="E1191" s="6"/>
      <c r="F1191" s="5"/>
      <c r="I1191" s="6"/>
      <c r="J1191" s="6"/>
      <c r="K1191" s="6"/>
    </row>
    <row r="1192" spans="2:11" x14ac:dyDescent="0.3">
      <c r="B1192" s="3"/>
      <c r="C1192" s="7"/>
      <c r="D1192" s="7"/>
      <c r="E1192" s="6"/>
      <c r="F1192" s="5"/>
      <c r="I1192" s="6"/>
      <c r="J1192" s="6"/>
      <c r="K1192" s="6"/>
    </row>
    <row r="1193" spans="2:11" x14ac:dyDescent="0.3">
      <c r="B1193" s="3"/>
      <c r="C1193" s="7"/>
      <c r="D1193" s="7"/>
      <c r="E1193" s="6"/>
      <c r="F1193" s="5"/>
      <c r="I1193" s="6"/>
      <c r="J1193" s="6"/>
      <c r="K1193" s="6"/>
    </row>
    <row r="1194" spans="2:11" x14ac:dyDescent="0.3">
      <c r="B1194" s="3"/>
      <c r="C1194" s="7"/>
      <c r="D1194" s="7"/>
      <c r="E1194" s="6"/>
      <c r="F1194" s="5"/>
      <c r="I1194" s="6"/>
      <c r="J1194" s="6"/>
      <c r="K1194" s="6"/>
    </row>
    <row r="1195" spans="2:11" x14ac:dyDescent="0.3">
      <c r="B1195" s="3"/>
      <c r="C1195" s="7"/>
      <c r="D1195" s="7"/>
      <c r="E1195" s="6"/>
      <c r="F1195" s="5"/>
      <c r="I1195" s="6"/>
      <c r="J1195" s="6"/>
      <c r="K1195" s="6"/>
    </row>
    <row r="1196" spans="2:11" x14ac:dyDescent="0.3">
      <c r="B1196" s="3"/>
      <c r="C1196" s="7"/>
      <c r="D1196" s="7"/>
      <c r="E1196" s="6"/>
      <c r="F1196" s="5"/>
      <c r="I1196" s="6"/>
      <c r="J1196" s="6"/>
      <c r="K1196" s="6"/>
    </row>
    <row r="1197" spans="2:11" x14ac:dyDescent="0.3">
      <c r="B1197" s="3"/>
      <c r="C1197" s="7"/>
      <c r="D1197" s="7"/>
      <c r="E1197" s="6"/>
      <c r="F1197" s="5"/>
      <c r="I1197" s="6"/>
      <c r="J1197" s="6"/>
      <c r="K1197" s="6"/>
    </row>
    <row r="1198" spans="2:11" x14ac:dyDescent="0.3">
      <c r="B1198" s="3"/>
      <c r="C1198" s="7"/>
      <c r="D1198" s="7"/>
      <c r="E1198" s="6"/>
      <c r="F1198" s="5"/>
      <c r="I1198" s="6"/>
      <c r="J1198" s="6"/>
      <c r="K1198" s="6"/>
    </row>
    <row r="1199" spans="2:11" x14ac:dyDescent="0.3">
      <c r="B1199" s="3"/>
      <c r="C1199" s="7"/>
      <c r="D1199" s="7"/>
      <c r="E1199" s="6"/>
      <c r="F1199" s="5"/>
      <c r="I1199" s="6"/>
      <c r="J1199" s="6"/>
      <c r="K1199" s="6"/>
    </row>
    <row r="1200" spans="2:11" x14ac:dyDescent="0.3">
      <c r="B1200" s="3"/>
      <c r="C1200" s="7"/>
      <c r="D1200" s="7"/>
      <c r="E1200" s="6"/>
      <c r="F1200" s="5"/>
      <c r="I1200" s="6"/>
      <c r="J1200" s="6"/>
      <c r="K1200" s="6"/>
    </row>
    <row r="1201" spans="2:11" x14ac:dyDescent="0.3">
      <c r="B1201" s="3"/>
      <c r="C1201" s="7"/>
      <c r="D1201" s="7"/>
      <c r="E1201" s="6"/>
      <c r="F1201" s="5"/>
      <c r="I1201" s="6"/>
      <c r="J1201" s="6"/>
      <c r="K1201" s="6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0BB24-EACD-4AC3-8A61-0965B0B0D828}">
  <dimension ref="B1:M22"/>
  <sheetViews>
    <sheetView tabSelected="1" workbookViewId="0">
      <selection activeCell="G23" sqref="G23"/>
    </sheetView>
  </sheetViews>
  <sheetFormatPr defaultRowHeight="14.4" x14ac:dyDescent="0.3"/>
  <cols>
    <col min="2" max="2" width="14" customWidth="1"/>
    <col min="3" max="3" width="19.6640625" customWidth="1"/>
    <col min="5" max="5" width="16.33203125" customWidth="1"/>
    <col min="6" max="6" width="18.109375" customWidth="1"/>
    <col min="8" max="8" width="21.33203125" customWidth="1"/>
    <col min="9" max="9" width="19.77734375" customWidth="1"/>
    <col min="11" max="11" width="6.6640625" customWidth="1"/>
    <col min="12" max="12" width="29.109375" customWidth="1"/>
    <col min="13" max="13" width="26" customWidth="1"/>
  </cols>
  <sheetData>
    <row r="1" spans="2:13" x14ac:dyDescent="0.3">
      <c r="B1" s="3"/>
      <c r="C1" s="7"/>
      <c r="D1" s="7"/>
      <c r="E1" s="6"/>
      <c r="F1" s="5"/>
      <c r="I1" s="6"/>
    </row>
    <row r="2" spans="2:13" ht="21" x14ac:dyDescent="0.4">
      <c r="B2" s="3"/>
      <c r="F2" s="15" t="s">
        <v>4299</v>
      </c>
      <c r="I2" s="6"/>
    </row>
    <row r="3" spans="2:13" x14ac:dyDescent="0.3">
      <c r="B3" s="3"/>
    </row>
    <row r="4" spans="2:13" ht="15.6" x14ac:dyDescent="0.3">
      <c r="B4" s="26" t="s">
        <v>4318</v>
      </c>
      <c r="C4" s="26"/>
      <c r="E4" s="26" t="s">
        <v>4300</v>
      </c>
      <c r="F4" s="26"/>
      <c r="H4" s="26" t="s">
        <v>4334</v>
      </c>
      <c r="I4" s="26"/>
      <c r="K4" s="6"/>
      <c r="L4" s="26" t="s">
        <v>4322</v>
      </c>
      <c r="M4" s="26"/>
    </row>
    <row r="5" spans="2:13" ht="15" thickBot="1" x14ac:dyDescent="0.35">
      <c r="B5" t="s">
        <v>4319</v>
      </c>
      <c r="C5" t="s">
        <v>4317</v>
      </c>
      <c r="E5" s="11" t="s">
        <v>4301</v>
      </c>
      <c r="F5" s="16" t="s">
        <v>4302</v>
      </c>
      <c r="H5" s="11" t="s">
        <v>4301</v>
      </c>
      <c r="I5" s="16" t="s">
        <v>4302</v>
      </c>
      <c r="L5" t="s">
        <v>4323</v>
      </c>
      <c r="M5" t="s">
        <v>4290</v>
      </c>
    </row>
    <row r="6" spans="2:13" ht="15" thickTop="1" x14ac:dyDescent="0.3">
      <c r="B6" t="s">
        <v>2406</v>
      </c>
      <c r="C6" s="20">
        <f>SUMIF('CLEANED DATA'!$F$2:$F$1201,"Chair",'CLEANED DATA'!$P$2:$P$1201)</f>
        <v>195620.11000000002</v>
      </c>
      <c r="E6" t="s">
        <v>4303</v>
      </c>
      <c r="F6" s="18">
        <f>COUNTIF('CLEANED DATA'!$D$2:$D$1201,"Jan")</f>
        <v>106</v>
      </c>
      <c r="H6" t="s">
        <v>4303</v>
      </c>
      <c r="I6" s="20">
        <f>SUMIF('CLEANED DATA'!$D$2:$D$1201,"Jan",'CLEANED DATA'!$P$2:$P$1201)</f>
        <v>124313.23000000005</v>
      </c>
      <c r="L6" t="s">
        <v>3073</v>
      </c>
      <c r="M6" s="22">
        <f>COUNTIF('CLEANED DATA'!$K$2:$K$1201,"Delivered")</f>
        <v>231</v>
      </c>
    </row>
    <row r="7" spans="2:13" x14ac:dyDescent="0.3">
      <c r="B7" t="s">
        <v>2407</v>
      </c>
      <c r="C7" s="21">
        <f>SUMIF('CLEANED DATA'!$F$2:$F$1201,"Printer",'CLEANED DATA'!$P$2:$P$1201)</f>
        <v>195612.60999999996</v>
      </c>
      <c r="E7" t="s">
        <v>4304</v>
      </c>
      <c r="F7" s="18">
        <f>COUNTIF('CLEANED DATA'!$D$2:$D$1201,"Feb")</f>
        <v>106</v>
      </c>
      <c r="H7" t="s">
        <v>4304</v>
      </c>
      <c r="I7" s="20">
        <f>SUMIF('CLEANED DATA'!$D$2:$D$1201,"Feb",'CLEANED DATA'!$P$2:$P$1201)</f>
        <v>112344.77999999998</v>
      </c>
      <c r="L7" t="s">
        <v>3070</v>
      </c>
      <c r="M7" s="22">
        <f>COUNTIF('CLEANED DATA'!$K$2:$K$1201,"Shipped")</f>
        <v>235</v>
      </c>
    </row>
    <row r="8" spans="2:13" x14ac:dyDescent="0.3">
      <c r="B8" t="s">
        <v>2408</v>
      </c>
      <c r="C8" s="20">
        <f>SUMIF('CLEANED DATA'!$F$2:$F$1201,"Laptop",'CLEANED DATA'!$P$2:$P$1201)</f>
        <v>192126.55999999994</v>
      </c>
      <c r="E8" t="s">
        <v>4305</v>
      </c>
      <c r="F8" s="18">
        <f>COUNTIF('CLEANED DATA'!$D$2:$D$1201,"Mar")</f>
        <v>128</v>
      </c>
      <c r="H8" t="s">
        <v>4305</v>
      </c>
      <c r="I8" s="20">
        <f>SUMIF('CLEANED DATA'!$D$2:$D$1201,"Mar",'CLEANED DATA'!$P$2:$P$1201)</f>
        <v>123840.92999999995</v>
      </c>
      <c r="L8" t="s">
        <v>3074</v>
      </c>
      <c r="M8" s="22">
        <f>COUNTIF('CLEANED DATA'!$K$2:$K$1201,"Pending")</f>
        <v>237</v>
      </c>
    </row>
    <row r="9" spans="2:13" x14ac:dyDescent="0.3">
      <c r="B9" t="s">
        <v>2405</v>
      </c>
      <c r="C9" s="20">
        <f>SUMIF('CLEANED DATA'!$F$2:$F$1201,"Tablet",'CLEANED DATA'!$P$2:$P$1201)</f>
        <v>186568.95000000007</v>
      </c>
      <c r="E9" t="s">
        <v>4306</v>
      </c>
      <c r="F9" s="18">
        <f>COUNTIF('CLEANED DATA'!$D$2:$D$1201,"Apr")</f>
        <v>113</v>
      </c>
      <c r="H9" t="s">
        <v>4306</v>
      </c>
      <c r="I9" s="20">
        <f>SUMIF('CLEANED DATA'!$D$2:$D$1201,"Apr",'CLEANED DATA'!$P$2:$P$1201)</f>
        <v>109186.05</v>
      </c>
      <c r="L9" t="s">
        <v>3071</v>
      </c>
      <c r="M9" s="22">
        <f>COUNTIF('CLEANED DATA'!$K$2:$K$1201,"Cancelled")</f>
        <v>250</v>
      </c>
    </row>
    <row r="10" spans="2:13" x14ac:dyDescent="0.3">
      <c r="B10" t="s">
        <v>2403</v>
      </c>
      <c r="C10" s="20">
        <f>SUMIF('CLEANED DATA'!$F$2:$F$1201,"Monitor",'CLEANED DATA'!$P$2:$P$1201)</f>
        <v>175651.40999999997</v>
      </c>
      <c r="E10" t="s">
        <v>4307</v>
      </c>
      <c r="F10" s="18">
        <f>COUNTIF('CLEANED DATA'!$D$2:$D$1201,"May")</f>
        <v>120</v>
      </c>
      <c r="H10" t="s">
        <v>4307</v>
      </c>
      <c r="I10" s="20">
        <f>SUMIF('CLEANED DATA'!$D$2:$D$1201,"May",'CLEANED DATA'!$P$2:$P$1201)</f>
        <v>135142.59</v>
      </c>
      <c r="L10" t="s">
        <v>3072</v>
      </c>
      <c r="M10" s="23">
        <f>COUNTIF('CLEANED DATA'!$K$2:$K$1201,"Returned")</f>
        <v>247</v>
      </c>
    </row>
    <row r="11" spans="2:13" x14ac:dyDescent="0.3">
      <c r="B11" t="s">
        <v>2409</v>
      </c>
      <c r="C11" s="20">
        <f>SUMIF('CLEANED DATA'!$F$2:$F$1201,"Desk",'CLEANED DATA'!$P$2:$P$1201)</f>
        <v>167459.93</v>
      </c>
      <c r="E11" t="s">
        <v>4308</v>
      </c>
      <c r="F11" s="18">
        <f>COUNTIF('CLEANED DATA'!$D$2:$D$1201,"Jun")</f>
        <v>147</v>
      </c>
      <c r="H11" t="s">
        <v>4308</v>
      </c>
      <c r="I11" s="20">
        <f>SUMIF('CLEANED DATA'!$D$2:$D$1201,"Jun",'CLEANED DATA'!$P$2:$P$1201)</f>
        <v>170616.13000000006</v>
      </c>
      <c r="L11" s="33" t="s">
        <v>4335</v>
      </c>
      <c r="M11" s="35">
        <f>SUM(M6:M10)</f>
        <v>1200</v>
      </c>
    </row>
    <row r="12" spans="2:13" x14ac:dyDescent="0.3">
      <c r="B12" t="s">
        <v>2404</v>
      </c>
      <c r="C12" s="20">
        <f>SUMIF('CLEANED DATA'!$F$2:$F$1201,"Phone",'CLEANED DATA'!$P$2:$P$1201)</f>
        <v>151722.39000000001</v>
      </c>
      <c r="E12" t="s">
        <v>4309</v>
      </c>
      <c r="F12" s="18">
        <f>COUNTIF('CLEANED DATA'!$D$2:$D$1201,"Jul")</f>
        <v>87</v>
      </c>
      <c r="H12" t="s">
        <v>4309</v>
      </c>
      <c r="I12" s="20">
        <f>SUMIF('CLEANED DATA'!$D$2:$D$1201,"Jul",'CLEANED DATA'!$P$2:$P$1201)</f>
        <v>85784.63999999997</v>
      </c>
      <c r="M12" s="6"/>
    </row>
    <row r="13" spans="2:13" ht="15.6" x14ac:dyDescent="0.3">
      <c r="B13" s="33" t="s">
        <v>4335</v>
      </c>
      <c r="C13" s="32">
        <f>SUM(C6:C12)</f>
        <v>1264761.96</v>
      </c>
      <c r="E13" t="s">
        <v>4310</v>
      </c>
      <c r="F13" s="18">
        <f>COUNTIF('CLEANED DATA'!$D$2:$D$1201,"Aug")</f>
        <v>79</v>
      </c>
      <c r="H13" t="s">
        <v>4310</v>
      </c>
      <c r="I13" s="20">
        <f>SUMIF('CLEANED DATA'!$D$2:$D$1201,"Aug",'CLEANED DATA'!$P$2:$P$1201)</f>
        <v>86343.210000000036</v>
      </c>
      <c r="L13" s="26" t="s">
        <v>4320</v>
      </c>
      <c r="M13" s="26"/>
    </row>
    <row r="14" spans="2:13" x14ac:dyDescent="0.3">
      <c r="E14" t="s">
        <v>4311</v>
      </c>
      <c r="F14" s="18">
        <f>COUNTIF('CLEANED DATA'!$D$2:$D$1201,"Sept")</f>
        <v>73</v>
      </c>
      <c r="H14" t="s">
        <v>4311</v>
      </c>
      <c r="I14" s="20">
        <f>SUMIF('CLEANED DATA'!$D$2:$D$1201,"Sept",'CLEANED DATA'!$P$2:$P$1201)</f>
        <v>69321.650000000023</v>
      </c>
      <c r="L14" s="6" t="s">
        <v>4321</v>
      </c>
      <c r="M14" s="6" t="s">
        <v>4317</v>
      </c>
    </row>
    <row r="15" spans="2:13" x14ac:dyDescent="0.3">
      <c r="E15" t="s">
        <v>4312</v>
      </c>
      <c r="F15" s="18">
        <f>COUNTIF('CLEANED DATA'!$D$2:$D$1201,"Oct")</f>
        <v>78</v>
      </c>
      <c r="H15" t="s">
        <v>4312</v>
      </c>
      <c r="I15" s="20">
        <f>SUMIF('CLEANED DATA'!$D$2:$D$1201,"Oct",'CLEANED DATA'!$P$2:$P$1201)</f>
        <v>89834.820000000022</v>
      </c>
      <c r="L15" t="s">
        <v>4278</v>
      </c>
      <c r="M15" s="20">
        <f>SUMIF('CLEANED DATA'!$O$2:$O$1201,"Instagram",'CLEANED DATA'!$P$2:$P$1201)</f>
        <v>275285.45000000007</v>
      </c>
    </row>
    <row r="16" spans="2:13" x14ac:dyDescent="0.3">
      <c r="E16" t="s">
        <v>4313</v>
      </c>
      <c r="F16" s="18">
        <f>COUNTIF('CLEANED DATA'!$D$2:$D$1201,"Nov")</f>
        <v>76</v>
      </c>
      <c r="H16" t="s">
        <v>4313</v>
      </c>
      <c r="I16" s="20">
        <f>SUMIF('CLEANED DATA'!$D$2:$D$1201,"Nov",'CLEANED DATA'!$P$2:$P$1201)</f>
        <v>75493.430000000008</v>
      </c>
      <c r="L16" t="s">
        <v>4280</v>
      </c>
      <c r="M16" s="20">
        <f>SUMIF('CLEANED DATA'!$O$2:$O$1201,"Email",'CLEANED DATA'!$P$2:$P$1201)</f>
        <v>261808.55000000002</v>
      </c>
    </row>
    <row r="17" spans="2:13" ht="15.6" x14ac:dyDescent="0.3">
      <c r="B17" s="26" t="s">
        <v>4315</v>
      </c>
      <c r="C17" s="26"/>
      <c r="E17" s="17" t="s">
        <v>4314</v>
      </c>
      <c r="F17" s="19">
        <f>COUNTIF('CLEANED DATA'!$D$2:$D$1201,"Dec")</f>
        <v>87</v>
      </c>
      <c r="H17" s="17" t="s">
        <v>4314</v>
      </c>
      <c r="I17" s="21">
        <f>SUMIF('CLEANED DATA'!$D$2:$D$1201,"Dec",'CLEANED DATA'!$P$2:$P$1201)</f>
        <v>82540.5</v>
      </c>
      <c r="L17" t="s">
        <v>4282</v>
      </c>
      <c r="M17" s="20">
        <f>SUMIF('CLEANED DATA'!$O$2:$O$1201,"Google",'CLEANED DATA'!$P$2:$P$1201)</f>
        <v>250441.47999999998</v>
      </c>
    </row>
    <row r="18" spans="2:13" x14ac:dyDescent="0.3">
      <c r="B18" s="6" t="s">
        <v>4316</v>
      </c>
      <c r="C18" s="6" t="s">
        <v>4317</v>
      </c>
      <c r="E18" s="33" t="s">
        <v>4336</v>
      </c>
      <c r="F18" s="33">
        <f>SUM(F6:F17)</f>
        <v>1200</v>
      </c>
      <c r="H18" s="33" t="s">
        <v>4335</v>
      </c>
      <c r="I18" s="34">
        <f>SUM(I6:I17)</f>
        <v>1264761.96</v>
      </c>
      <c r="L18" t="s">
        <v>4281</v>
      </c>
      <c r="M18" s="20">
        <f>SUMIF('CLEANED DATA'!$O$2:$O$1201,"Facebook",'CLEANED DATA'!$P$2:$P$1201)</f>
        <v>250410.9</v>
      </c>
    </row>
    <row r="19" spans="2:13" x14ac:dyDescent="0.3">
      <c r="B19">
        <v>2023</v>
      </c>
      <c r="C19" s="20">
        <f>SUMIF('CLEANED DATA'!$C$2:$C$1201,2023,'CLEANED DATA'!$P$2:$P$1201)</f>
        <v>552643.23999999976</v>
      </c>
      <c r="D19" s="7"/>
      <c r="L19" t="s">
        <v>4279</v>
      </c>
      <c r="M19" s="21">
        <f>SUMIF('CLEANED DATA'!$O$2:$O$1201,"Referral",'CLEANED DATA'!$P$2:$P$1201)</f>
        <v>226815.5799999999</v>
      </c>
    </row>
    <row r="20" spans="2:13" x14ac:dyDescent="0.3">
      <c r="B20">
        <v>2024</v>
      </c>
      <c r="C20" s="20">
        <f>SUMIF('CLEANED DATA'!$C$2:$C$1201,2024,'CLEANED DATA'!$P$2:$P$1201)</f>
        <v>480235.87000000034</v>
      </c>
      <c r="D20" s="7"/>
      <c r="L20" s="33" t="s">
        <v>4335</v>
      </c>
      <c r="M20" s="32">
        <f>SUM(M15:M19)</f>
        <v>1264761.96</v>
      </c>
    </row>
    <row r="21" spans="2:13" x14ac:dyDescent="0.3">
      <c r="B21">
        <v>2025</v>
      </c>
      <c r="C21" s="20">
        <f>SUMIF('CLEANED DATA'!$C$2:$C$1201,2025,'CLEANED DATA'!$P$2:$P$1201)</f>
        <v>231882.85000000006</v>
      </c>
      <c r="D21" s="7"/>
    </row>
    <row r="22" spans="2:13" x14ac:dyDescent="0.3">
      <c r="B22" s="33" t="s">
        <v>4335</v>
      </c>
      <c r="C22" s="32">
        <f>-SUM(C19:C21)</f>
        <v>-1264761.9600000002</v>
      </c>
    </row>
  </sheetData>
  <mergeCells count="6">
    <mergeCell ref="L13:M13"/>
    <mergeCell ref="L4:M4"/>
    <mergeCell ref="B17:C17"/>
    <mergeCell ref="B4:C4"/>
    <mergeCell ref="E4:F4"/>
    <mergeCell ref="H4:I4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5569-FAFF-4F41-A0B8-811937B54E14}">
  <dimension ref="B2:K11"/>
  <sheetViews>
    <sheetView workbookViewId="0">
      <selection activeCell="I20" sqref="I20"/>
    </sheetView>
  </sheetViews>
  <sheetFormatPr defaultRowHeight="14.4" x14ac:dyDescent="0.3"/>
  <cols>
    <col min="2" max="2" width="13.44140625" customWidth="1"/>
    <col min="3" max="3" width="12.109375" customWidth="1"/>
    <col min="4" max="4" width="10.44140625" customWidth="1"/>
    <col min="8" max="8" width="16" customWidth="1"/>
    <col min="9" max="9" width="15" customWidth="1"/>
  </cols>
  <sheetData>
    <row r="2" spans="2:11" ht="18" x14ac:dyDescent="0.35">
      <c r="C2" s="27" t="s">
        <v>4326</v>
      </c>
      <c r="H2" s="29" t="s">
        <v>4331</v>
      </c>
      <c r="I2" s="29"/>
      <c r="J2" s="29"/>
      <c r="K2" s="29"/>
    </row>
    <row r="3" spans="2:11" x14ac:dyDescent="0.3">
      <c r="B3" s="25"/>
      <c r="C3" s="25"/>
    </row>
    <row r="4" spans="2:11" x14ac:dyDescent="0.3">
      <c r="B4" t="s">
        <v>4293</v>
      </c>
      <c r="C4" t="s">
        <v>4294</v>
      </c>
      <c r="D4" t="s">
        <v>4333</v>
      </c>
      <c r="H4" t="s">
        <v>3</v>
      </c>
      <c r="I4" t="s">
        <v>4332</v>
      </c>
    </row>
    <row r="5" spans="2:11" x14ac:dyDescent="0.3">
      <c r="B5" t="s">
        <v>4324</v>
      </c>
      <c r="D5">
        <f>QUARTILE('CLEANED DATA'!$P$2:$P$1201,1)</f>
        <v>410.52</v>
      </c>
      <c r="H5" t="s">
        <v>2408</v>
      </c>
      <c r="I5" s="31">
        <f>COUNTIFS('CLEANED DATA'!$F$2:$F$1201,"Laptop",'CLEANED DATA'!$P$2:$P$1201,"&gt;"&amp;D9)</f>
        <v>2</v>
      </c>
    </row>
    <row r="6" spans="2:11" x14ac:dyDescent="0.3">
      <c r="B6" t="s">
        <v>4327</v>
      </c>
      <c r="D6" s="28">
        <f>QUARTILE('CLEANED DATA'!$P$2:$P$1201,3)</f>
        <v>1578.4749999999999</v>
      </c>
      <c r="H6" t="s">
        <v>2403</v>
      </c>
      <c r="I6" s="31">
        <f>COUNTIFS('CLEANED DATA'!$F$2:$F$1201,"Monitor",'CLEANED DATA'!$P$2:$P$1201,"&gt;"&amp;D9)</f>
        <v>1</v>
      </c>
    </row>
    <row r="7" spans="2:11" x14ac:dyDescent="0.3">
      <c r="B7" t="s">
        <v>4328</v>
      </c>
      <c r="D7" s="28">
        <f>D6-D5</f>
        <v>1167.9549999999999</v>
      </c>
      <c r="H7" t="s">
        <v>2404</v>
      </c>
      <c r="I7">
        <f>COUNTIFS('CLEANED DATA'!$F$2:$F$1201,"Phone",'CLEANED DATA'!$P$2:$P$1201,"&gt;"&amp;D9)</f>
        <v>0</v>
      </c>
    </row>
    <row r="8" spans="2:11" x14ac:dyDescent="0.3">
      <c r="B8" s="30" t="s">
        <v>4329</v>
      </c>
      <c r="C8" s="30"/>
      <c r="D8" s="28">
        <f>D5-(1.5*D7)</f>
        <v>-1341.4124999999999</v>
      </c>
      <c r="H8" t="s">
        <v>2405</v>
      </c>
      <c r="I8" s="31">
        <f>COUNTIFS('CLEANED DATA'!$F$2:$F$1201,"Tablet",'CLEANED DATA'!$P$2:$P$1201,"&gt;"&amp;D9)</f>
        <v>2</v>
      </c>
    </row>
    <row r="9" spans="2:11" x14ac:dyDescent="0.3">
      <c r="B9" s="30" t="s">
        <v>4330</v>
      </c>
      <c r="C9" s="30"/>
      <c r="D9" s="24">
        <f>D6+(1.5*D7)</f>
        <v>3330.4074999999998</v>
      </c>
      <c r="H9" t="s">
        <v>2406</v>
      </c>
      <c r="I9" s="31">
        <f>COUNTIFS('CLEANED DATA'!$F$2:$F$1201,"Chair",'CLEANED DATA'!$P$2:$P$1201,"&gt;"&amp;D9)</f>
        <v>1</v>
      </c>
    </row>
    <row r="10" spans="2:11" x14ac:dyDescent="0.3">
      <c r="B10" s="30" t="s">
        <v>4325</v>
      </c>
      <c r="C10" s="30"/>
      <c r="D10" s="31">
        <f>COUNTIF('CLEANED DATA'!$P$2:$P$1201,"&lt;"&amp;D8)+COUNTIF('CLEANED DATA'!$P$2:$P$1201,"&gt;"&amp;D9)</f>
        <v>8</v>
      </c>
      <c r="H10" t="s">
        <v>2409</v>
      </c>
      <c r="I10">
        <f>COUNTIFS('CLEANED DATA'!$F$2:$F$1201,"Desk",'CLEANED DATA'!$P$2:$P$1201,"&gt;"&amp;D9)</f>
        <v>0</v>
      </c>
    </row>
    <row r="11" spans="2:11" x14ac:dyDescent="0.3">
      <c r="H11" t="s">
        <v>2407</v>
      </c>
      <c r="I11" s="31">
        <f>COUNTIFS('CLEANED DATA'!$F$2:$F$1201,"Printer",'CLEANED DATA'!$P$2:$P$1201,"&gt;"&amp;D9)</f>
        <v>2</v>
      </c>
    </row>
  </sheetData>
  <mergeCells count="2">
    <mergeCell ref="H2:K2"/>
    <mergeCell ref="B3:C3"/>
  </mergeCells>
  <phoneticPr fontId="11" type="noConversion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BFC41-6A87-4B3F-908A-8D95E57F077F}">
  <dimension ref="I2:O10"/>
  <sheetViews>
    <sheetView workbookViewId="0">
      <selection activeCell="F5" sqref="F5"/>
    </sheetView>
  </sheetViews>
  <sheetFormatPr defaultRowHeight="14.4" x14ac:dyDescent="0.3"/>
  <cols>
    <col min="3" max="3" width="8.88671875" customWidth="1"/>
    <col min="8" max="9" width="8.88671875" customWidth="1"/>
    <col min="10" max="10" width="28.109375" customWidth="1"/>
    <col min="11" max="11" width="42.5546875" customWidth="1"/>
  </cols>
  <sheetData>
    <row r="2" spans="9:15" ht="21" x14ac:dyDescent="0.4">
      <c r="I2" s="36" t="s">
        <v>4337</v>
      </c>
      <c r="J2" s="37"/>
      <c r="K2" s="37"/>
      <c r="L2" s="37"/>
      <c r="M2" s="37"/>
      <c r="N2" s="37"/>
      <c r="O2" s="37"/>
    </row>
    <row r="4" spans="9:15" ht="15.6" x14ac:dyDescent="0.3">
      <c r="J4" s="41" t="s">
        <v>4338</v>
      </c>
      <c r="K4" s="41" t="s">
        <v>4339</v>
      </c>
    </row>
    <row r="5" spans="9:15" ht="43.2" x14ac:dyDescent="0.3">
      <c r="J5" s="38" t="s">
        <v>4340</v>
      </c>
      <c r="K5" s="39" t="s">
        <v>4341</v>
      </c>
    </row>
    <row r="6" spans="9:15" ht="43.2" x14ac:dyDescent="0.3">
      <c r="J6" s="38" t="s">
        <v>4342</v>
      </c>
      <c r="K6" s="40" t="s">
        <v>4343</v>
      </c>
    </row>
    <row r="7" spans="9:15" ht="57.6" x14ac:dyDescent="0.3">
      <c r="J7" s="38" t="s">
        <v>4344</v>
      </c>
      <c r="K7" s="40" t="s">
        <v>4345</v>
      </c>
    </row>
    <row r="8" spans="9:15" ht="43.2" x14ac:dyDescent="0.3">
      <c r="J8" s="38" t="s">
        <v>4347</v>
      </c>
      <c r="K8" s="40" t="s">
        <v>4346</v>
      </c>
    </row>
    <row r="9" spans="9:15" ht="57.6" x14ac:dyDescent="0.3">
      <c r="J9" s="38" t="s">
        <v>4349</v>
      </c>
      <c r="K9" s="40" t="s">
        <v>4348</v>
      </c>
    </row>
    <row r="10" spans="9:15" ht="57.6" x14ac:dyDescent="0.3">
      <c r="J10" s="38" t="s">
        <v>4351</v>
      </c>
      <c r="K10" s="40" t="s">
        <v>4350</v>
      </c>
    </row>
  </sheetData>
  <mergeCells count="1">
    <mergeCell ref="I2:O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E63ADA-2898-4C4B-AFD5-7597BD32FB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Original Data</vt:lpstr>
      <vt:lpstr>CLEANED DATA</vt:lpstr>
      <vt:lpstr>EDA SUMMARY</vt:lpstr>
      <vt:lpstr>TRENDS</vt:lpstr>
      <vt:lpstr>OUTLIERS</vt:lpstr>
      <vt:lpstr>KEY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BESONG</dc:creator>
  <cp:lastModifiedBy>Justin Besong</cp:lastModifiedBy>
  <dcterms:created xsi:type="dcterms:W3CDTF">2025-06-21T13:19:12Z</dcterms:created>
  <dcterms:modified xsi:type="dcterms:W3CDTF">2026-06-05T13:34:03Z</dcterms:modified>
</cp:coreProperties>
</file>